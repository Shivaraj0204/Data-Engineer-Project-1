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esktop\Activity_Hub\"/>
    </mc:Choice>
  </mc:AlternateContent>
  <xr:revisionPtr revIDLastSave="0" documentId="13_ncr:1_{25EFE066-BAD8-4327-AB81-9AC6E4CD44C4}" xr6:coauthVersionLast="36" xr6:coauthVersionMax="36" xr10:uidLastSave="{00000000-0000-0000-0000-000000000000}"/>
  <bookViews>
    <workbookView xWindow="0" yWindow="0" windowWidth="20490" windowHeight="7545" firstSheet="1" activeTab="3" xr2:uid="{00000000-000D-0000-FFFF-FFFF00000000}"/>
  </bookViews>
  <sheets>
    <sheet name="Home" sheetId="3" r:id="rId1"/>
    <sheet name="Remote_Sites" sheetId="181" r:id="rId2"/>
    <sheet name="All_Mails" sheetId="12" r:id="rId3"/>
    <sheet name="Mail_Check" sheetId="9" r:id="rId4"/>
    <sheet name="Monthly_Changes" sheetId="182" r:id="rId5"/>
  </sheets>
  <functionGroups builtInGroupCount="19"/>
  <externalReferences>
    <externalReference r:id="rId6"/>
    <externalReference r:id="rId7"/>
  </externalReferences>
  <definedNames>
    <definedName name="_xlnm._FilterDatabase" localSheetId="2" hidden="1">All_Mails!$A$1:$H$354</definedName>
    <definedName name="_xlnm._FilterDatabase" localSheetId="3" hidden="1">Mail_Check!$A$1:$O$96</definedName>
  </definedNames>
  <calcPr calcId="191029"/>
</workbook>
</file>

<file path=xl/calcChain.xml><?xml version="1.0" encoding="utf-8"?>
<calcChain xmlns="http://schemas.openxmlformats.org/spreadsheetml/2006/main">
  <c r="E50" i="9" l="1"/>
  <c r="E61" i="9"/>
  <c r="E55" i="9"/>
  <c r="E48" i="9"/>
  <c r="E47" i="9"/>
  <c r="E45" i="9"/>
  <c r="E43" i="9"/>
  <c r="E42" i="9"/>
  <c r="E41" i="9"/>
  <c r="E40" i="9"/>
  <c r="E39" i="9"/>
  <c r="E38" i="9"/>
  <c r="E37" i="9"/>
  <c r="E36" i="9"/>
  <c r="E33" i="9"/>
  <c r="E32" i="9"/>
  <c r="E31" i="9"/>
  <c r="E29" i="9"/>
  <c r="E28" i="9"/>
  <c r="E27" i="9"/>
  <c r="E26" i="9"/>
  <c r="E25" i="9"/>
  <c r="E22" i="9"/>
  <c r="E21" i="9"/>
  <c r="E20" i="9"/>
  <c r="E19" i="9"/>
  <c r="E17" i="9"/>
  <c r="E16" i="9"/>
  <c r="E15" i="9"/>
  <c r="E12" i="9"/>
  <c r="G11" i="9" l="1"/>
  <c r="H11" i="9"/>
  <c r="G15" i="9" l="1"/>
  <c r="G32" i="9"/>
  <c r="H32" i="9"/>
  <c r="G27" i="9"/>
  <c r="H27" i="9"/>
  <c r="G28" i="9"/>
  <c r="H28" i="9"/>
  <c r="G22" i="9"/>
  <c r="H22" i="9"/>
  <c r="G41" i="9" l="1"/>
  <c r="H41" i="9"/>
  <c r="H9" i="9" l="1"/>
  <c r="G39" i="9" l="1"/>
  <c r="H39" i="9"/>
  <c r="G40" i="9"/>
  <c r="H40" i="9"/>
  <c r="G13" i="9" l="1"/>
  <c r="H13" i="9"/>
  <c r="G14" i="9"/>
  <c r="H14" i="9"/>
  <c r="H15" i="9"/>
  <c r="H25" i="9" l="1"/>
  <c r="G25" i="9"/>
  <c r="G38" i="9" l="1"/>
  <c r="H38" i="9"/>
  <c r="G55" i="9" l="1"/>
  <c r="H55" i="9"/>
  <c r="G54" i="9"/>
  <c r="H54" i="9"/>
  <c r="G16" i="9"/>
  <c r="H16" i="9"/>
  <c r="G24" i="9"/>
  <c r="H24" i="9"/>
  <c r="G29" i="9"/>
  <c r="H29" i="9"/>
  <c r="G30" i="9"/>
  <c r="H30" i="9"/>
  <c r="H26" i="9" l="1"/>
  <c r="G26" i="9"/>
  <c r="H23" i="9"/>
  <c r="G23" i="9"/>
  <c r="H21" i="9"/>
  <c r="G21" i="9"/>
  <c r="H20" i="9"/>
  <c r="G20" i="9"/>
  <c r="H19" i="9"/>
  <c r="G19" i="9"/>
  <c r="H18" i="9"/>
  <c r="G18" i="9"/>
  <c r="H17" i="9"/>
  <c r="G17" i="9"/>
  <c r="G12" i="9" l="1"/>
  <c r="H12" i="9"/>
  <c r="E10" i="9"/>
  <c r="H10" i="9" s="1"/>
  <c r="G9" i="9"/>
  <c r="G7" i="9"/>
  <c r="H7" i="9"/>
  <c r="G8" i="9"/>
  <c r="H8" i="9"/>
  <c r="H6" i="9"/>
  <c r="G6" i="9"/>
  <c r="G10" i="9" l="1"/>
  <c r="G49" i="9" l="1"/>
  <c r="G48" i="9"/>
  <c r="G47" i="9"/>
  <c r="G46" i="9"/>
  <c r="G45" i="9"/>
  <c r="G44" i="9"/>
  <c r="G43" i="9"/>
  <c r="G42" i="9"/>
  <c r="G37" i="9"/>
  <c r="G36" i="9"/>
  <c r="G35" i="9"/>
  <c r="G34" i="9"/>
  <c r="G33" i="9"/>
  <c r="G31" i="9"/>
  <c r="G4" i="9"/>
  <c r="G3" i="9"/>
  <c r="G2" i="9"/>
  <c r="H49" i="9"/>
  <c r="H48" i="9"/>
  <c r="H47" i="9"/>
  <c r="H46" i="9"/>
  <c r="H45" i="9"/>
  <c r="H44" i="9"/>
  <c r="H43" i="9"/>
  <c r="H42" i="9"/>
  <c r="H37" i="9"/>
  <c r="H36" i="9"/>
  <c r="H35" i="9"/>
  <c r="H34" i="9"/>
  <c r="H33" i="9"/>
  <c r="H31" i="9"/>
  <c r="H4" i="9"/>
  <c r="H3" i="9"/>
  <c r="H2" i="9"/>
  <c r="H5" i="9"/>
  <c r="G5" i="9"/>
  <c r="G65" i="9" l="1"/>
  <c r="H65" i="9"/>
  <c r="G66" i="9"/>
  <c r="H66" i="9"/>
  <c r="I66" i="9"/>
  <c r="G67" i="9"/>
  <c r="H67" i="9"/>
  <c r="I67" i="9"/>
  <c r="G69" i="9"/>
  <c r="H69" i="9"/>
  <c r="I69" i="9"/>
  <c r="E110" i="9" l="1"/>
  <c r="I118" i="9" l="1"/>
  <c r="I117" i="9"/>
  <c r="I116" i="9"/>
  <c r="I115" i="9"/>
  <c r="I114" i="9"/>
  <c r="I113" i="9"/>
  <c r="I112" i="9"/>
  <c r="I111" i="9"/>
  <c r="I110" i="9"/>
  <c r="G88" i="9"/>
  <c r="H88" i="9"/>
  <c r="G89" i="9"/>
  <c r="H89" i="9"/>
  <c r="H71" i="9"/>
  <c r="G71" i="9"/>
  <c r="H70" i="9"/>
  <c r="G70" i="9"/>
  <c r="I54" i="9"/>
  <c r="I57" i="9"/>
  <c r="I59" i="9"/>
  <c r="I60" i="9"/>
  <c r="I63" i="9"/>
  <c r="I68" i="9"/>
  <c r="I72" i="9"/>
  <c r="I74" i="9"/>
  <c r="I75" i="9"/>
  <c r="I76" i="9"/>
  <c r="I80" i="9"/>
  <c r="I81" i="9"/>
  <c r="I83" i="9"/>
  <c r="I84" i="9"/>
  <c r="I85" i="9"/>
  <c r="I86" i="9"/>
  <c r="I87" i="9"/>
  <c r="I90" i="9"/>
  <c r="I91" i="9"/>
  <c r="I92" i="9"/>
  <c r="I93" i="9"/>
  <c r="G77" i="9"/>
  <c r="H77" i="9"/>
  <c r="G84" i="9"/>
  <c r="H84" i="9"/>
  <c r="G87" i="9"/>
  <c r="H87" i="9"/>
  <c r="G86" i="9"/>
  <c r="H86" i="9"/>
  <c r="G78" i="9"/>
  <c r="H78" i="9"/>
  <c r="G90" i="9"/>
  <c r="H90" i="9"/>
  <c r="G83" i="9"/>
  <c r="H83" i="9"/>
  <c r="G74" i="9"/>
  <c r="H74" i="9"/>
  <c r="G82" i="9"/>
  <c r="H82" i="9"/>
  <c r="G75" i="9"/>
  <c r="H75" i="9"/>
  <c r="G91" i="9"/>
  <c r="H91" i="9"/>
  <c r="G63" i="9"/>
  <c r="H63" i="9"/>
  <c r="G51" i="9"/>
  <c r="H51" i="9"/>
  <c r="G60" i="9"/>
  <c r="H60" i="9"/>
  <c r="G94" i="9" l="1"/>
  <c r="H94" i="9"/>
  <c r="G53" i="9" l="1"/>
  <c r="H53" i="9"/>
  <c r="H73" i="9" l="1"/>
  <c r="G73" i="9"/>
  <c r="H57" i="9" l="1"/>
  <c r="G57" i="9"/>
  <c r="H52" i="9" l="1"/>
  <c r="G52" i="9"/>
  <c r="G79" i="9" l="1"/>
  <c r="H79" i="9"/>
  <c r="G56" i="9"/>
  <c r="H56" i="9"/>
  <c r="G59" i="9"/>
  <c r="H59" i="9"/>
  <c r="G62" i="9"/>
  <c r="H62" i="9"/>
  <c r="H93" i="9"/>
  <c r="G93" i="9"/>
  <c r="H96" i="9"/>
  <c r="G96" i="9"/>
  <c r="H95" i="9" l="1"/>
  <c r="H68" i="9"/>
  <c r="G95" i="9"/>
  <c r="G68" i="9"/>
  <c r="H76" i="9" l="1"/>
  <c r="G76" i="9"/>
  <c r="H72" i="9" l="1"/>
  <c r="B1" i="3" l="1"/>
  <c r="H50" i="9" l="1"/>
  <c r="G50" i="9"/>
  <c r="I65" i="9"/>
  <c r="E85" i="9"/>
  <c r="E92" i="9"/>
  <c r="G92" i="9" s="1"/>
  <c r="I64" i="9"/>
  <c r="G72" i="9"/>
  <c r="H92" i="9" l="1"/>
  <c r="I89" i="9"/>
  <c r="E81" i="9"/>
  <c r="I78" i="9" s="1"/>
  <c r="E80" i="9"/>
  <c r="I77" i="9" s="1"/>
  <c r="H80" i="9" l="1"/>
  <c r="H81" i="9"/>
  <c r="G80" i="9"/>
  <c r="G81" i="9"/>
  <c r="E118" i="9" l="1"/>
  <c r="E117" i="9"/>
  <c r="E116" i="9"/>
  <c r="E115" i="9"/>
  <c r="E114" i="9"/>
  <c r="E113" i="9"/>
  <c r="E112" i="9"/>
  <c r="I94" i="9" s="1"/>
  <c r="E111" i="9"/>
  <c r="I73" i="9"/>
  <c r="I70" i="9"/>
  <c r="I82" i="9"/>
  <c r="I79" i="9"/>
  <c r="I62" i="9"/>
  <c r="I52" i="9"/>
  <c r="I61" i="9"/>
  <c r="G112" i="9" l="1"/>
  <c r="H112" i="9"/>
  <c r="H113" i="9"/>
  <c r="G113" i="9"/>
  <c r="H114" i="9"/>
  <c r="G114" i="9"/>
  <c r="H115" i="9"/>
  <c r="G115" i="9"/>
  <c r="H116" i="9"/>
  <c r="G116" i="9"/>
  <c r="H117" i="9"/>
  <c r="G117" i="9"/>
  <c r="H110" i="9"/>
  <c r="G110" i="9"/>
  <c r="G111" i="9"/>
  <c r="H111" i="9"/>
  <c r="H118" i="9"/>
  <c r="G118" i="9"/>
  <c r="I88" i="9"/>
  <c r="I71" i="9"/>
  <c r="I96" i="9"/>
  <c r="I53" i="9"/>
  <c r="I95" i="9"/>
  <c r="H61" i="9"/>
  <c r="I58" i="9"/>
  <c r="H58" i="9"/>
  <c r="I56" i="9"/>
  <c r="I51" i="9"/>
  <c r="G85" i="9"/>
  <c r="H85" i="9"/>
  <c r="H64" i="9"/>
  <c r="G64" i="9"/>
  <c r="G61" i="9"/>
  <c r="G5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heet1" description="Connection to the 'Sheet1' query in the workbook." type="5" refreshedVersion="6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<sst xmlns="http://schemas.openxmlformats.org/spreadsheetml/2006/main" count="1949" uniqueCount="836">
  <si>
    <t>Date of Interest</t>
  </si>
  <si>
    <t>Mail Mark As Read</t>
  </si>
  <si>
    <t>Subject</t>
  </si>
  <si>
    <t>Sent DateTime</t>
  </si>
  <si>
    <t>Sender</t>
  </si>
  <si>
    <t>To</t>
  </si>
  <si>
    <t>CC</t>
  </si>
  <si>
    <t>#Attachments</t>
  </si>
  <si>
    <t>Time</t>
  </si>
  <si>
    <t>SLA</t>
  </si>
  <si>
    <t>Report_Name
(as per SLA)</t>
  </si>
  <si>
    <t>Mail Subject</t>
  </si>
  <si>
    <t>#
Attachment</t>
  </si>
  <si>
    <t>Monthly
Change Required</t>
  </si>
  <si>
    <t>Yes</t>
  </si>
  <si>
    <t>Remarks</t>
  </si>
  <si>
    <t>BKASH_Submgr_Data</t>
  </si>
  <si>
    <t>Delivered?</t>
  </si>
  <si>
    <t>Daily</t>
  </si>
  <si>
    <t>Frequency</t>
  </si>
  <si>
    <t>Path</t>
  </si>
  <si>
    <t>Nova GUI</t>
  </si>
  <si>
    <t>Customer
(Operator)</t>
  </si>
  <si>
    <t>Source_IP</t>
  </si>
  <si>
    <t>Destination_IP</t>
  </si>
  <si>
    <t>Port</t>
  </si>
  <si>
    <t>UserName</t>
  </si>
  <si>
    <t>10.200.70.68</t>
  </si>
  <si>
    <t>root</t>
  </si>
  <si>
    <t>sftp</t>
  </si>
  <si>
    <t>10.175.38.168</t>
  </si>
  <si>
    <t>Type</t>
  </si>
  <si>
    <t>172.16.21.18</t>
  </si>
  <si>
    <t>10.223.2.92</t>
  </si>
  <si>
    <t>Password</t>
  </si>
  <si>
    <t>Nova String</t>
  </si>
  <si>
    <t>Data Path</t>
  </si>
  <si>
    <t>/var/NOVA/GMIS_DATA</t>
  </si>
  <si>
    <t>/home/GMIS</t>
  </si>
  <si>
    <t>VF-Qatar</t>
  </si>
  <si>
    <t>Onm0bile</t>
  </si>
  <si>
    <t>/var/NOVA/PostgreSQL/9.1/bin/psql -d postgres -U postgres</t>
  </si>
  <si>
    <t>DU_Server</t>
  </si>
  <si>
    <t>/var/mnt/GMIS</t>
  </si>
  <si>
    <t>/usr/pgsql-9.4/bin/psql -d nova -U moradmin</t>
  </si>
  <si>
    <t>Egypt_Postgres</t>
  </si>
  <si>
    <t>/var/NOVA/postgres/bin/psql -d postgres -U postgres</t>
  </si>
  <si>
    <t>BKASH</t>
  </si>
  <si>
    <t>VFEG</t>
  </si>
  <si>
    <t>Server</t>
  </si>
  <si>
    <t>Bkash_CA_Fundesh_Prism_Report</t>
  </si>
  <si>
    <t>CA_FUNDESH_KPI_REPORT - BKASH</t>
  </si>
  <si>
    <t>10.190.93.39</t>
  </si>
  <si>
    <t>Manual</t>
  </si>
  <si>
    <t>AIRTEL_RBT_RRBT_Report</t>
  </si>
  <si>
    <t>ROBIBD_KPI_Report</t>
  </si>
  <si>
    <t>Nagad_Submgr</t>
  </si>
  <si>
    <t>NAGADBD</t>
  </si>
  <si>
    <t>MIS Report | BKASH_CONTEST_REPORT</t>
  </si>
  <si>
    <t>ROBIBD_RBT_Report</t>
  </si>
  <si>
    <t>Hutchsl</t>
  </si>
  <si>
    <t>D:\CA_Asia\HUTCHSL\HUTCHSL_CA_Daily_Report</t>
  </si>
  <si>
    <t>HUTCHSL_CA_Active_Base_Daily_MDNlevel</t>
  </si>
  <si>
    <t>Blink_RBT_RRBT_REPORT</t>
  </si>
  <si>
    <t>Nagad_Unipin_Report</t>
  </si>
  <si>
    <t>HUTCHSL_KPI_Reports</t>
  </si>
  <si>
    <t>D:\NAGADBD\Unipin_Report</t>
  </si>
  <si>
    <t>Banglalink_Gaming_KPI_Report</t>
  </si>
  <si>
    <t>ocade_daily_report</t>
  </si>
  <si>
    <t>GP_RBT_RRBT_MIS-GP_RBT_RRBT_Report</t>
  </si>
  <si>
    <t>Momagic_revenue_report</t>
  </si>
  <si>
    <t>Grameen_MIS-GRAMEEN_MOBILE_RADIO</t>
  </si>
  <si>
    <t>Bkash</t>
  </si>
  <si>
    <t>BKASH_CONTEST_REPORT</t>
  </si>
  <si>
    <t>D:\MOMAGIC</t>
  </si>
  <si>
    <t>D:\Contest\BKASH</t>
  </si>
  <si>
    <t>10.190.93.41</t>
  </si>
  <si>
    <t>GRAMEEN</t>
  </si>
  <si>
    <t>GP_RBT_RRBT_Report</t>
  </si>
  <si>
    <t>GRAMEEN_MOBILE_RADIO</t>
  </si>
  <si>
    <t>D:\Grameen\RBT_Report\Driver</t>
  </si>
  <si>
    <t>D:\Grameen\Subscription\Driver</t>
  </si>
  <si>
    <t>ROBIBD</t>
  </si>
  <si>
    <t>RobiBD_RBT_RRBT_Report</t>
  </si>
  <si>
    <t>RobiBD_KPI_Report</t>
  </si>
  <si>
    <t>D:\RobiBD\RBT\Driver</t>
  </si>
  <si>
    <t>D:\RobiBD\ROBI_PRBT_KPI\Driver</t>
  </si>
  <si>
    <t>WARID</t>
  </si>
  <si>
    <t>BANGLALINK</t>
  </si>
  <si>
    <t>D:\Bangla_link\RBT_RRBT_Report\Driver</t>
  </si>
  <si>
    <t>D:\CA_Asia\Banglalink\Banglalink_KPI_Report</t>
  </si>
  <si>
    <t>D:\CA\CA_OOMY\Driver</t>
  </si>
  <si>
    <t>Ooredoo-mynmar</t>
  </si>
  <si>
    <t>Banglalink_MyBL_AmarTune_KPI_Report</t>
  </si>
  <si>
    <t>Bkash_Report</t>
  </si>
  <si>
    <t>D:\CA_Asia\Banglalink\Banglalink_APP_RBT_Report</t>
  </si>
  <si>
    <t>D:\Bkash\Fundesh_CA</t>
  </si>
  <si>
    <t>D:\Bkash\Driver</t>
  </si>
  <si>
    <t>BL_Content_Access_Report</t>
  </si>
  <si>
    <t>NAGADBD_Report</t>
  </si>
  <si>
    <t>D:\CA_Asia\Banglalink\BL_Content_Access_Report</t>
  </si>
  <si>
    <t>Nagadbd_CA_Daily_Report</t>
  </si>
  <si>
    <t>D:\NAGADBD\NAGADBD_CA</t>
  </si>
  <si>
    <t>Monthly Reports</t>
  </si>
  <si>
    <t>OML_Gratification_Top_Games</t>
  </si>
  <si>
    <t>OML_Gratification_Top_msisdn</t>
  </si>
  <si>
    <t>Cellcard_CA_Client_Report</t>
  </si>
  <si>
    <t>CELLCARD_KPI_Reports</t>
  </si>
  <si>
    <t>TM-Truemove_CA_KPI_Report</t>
  </si>
  <si>
    <t>Dialog_Cricket_MIS-Dialog_Cricket_Daily_Report</t>
  </si>
  <si>
    <t>Dialog_UPRBT_Report</t>
  </si>
  <si>
    <t>DIALOG CA Games KPI_Report</t>
  </si>
  <si>
    <t>Dialog_MOD_Daily_Report</t>
  </si>
  <si>
    <t>Dialog_PRBT_UPRBT_Daily_Report</t>
  </si>
  <si>
    <t>Dialog_RBT_Daily_Report</t>
  </si>
  <si>
    <t>MY-Celcom_CA_KPI_Report</t>
  </si>
  <si>
    <t>AT-Airtel_Wynk_MIS_Report</t>
  </si>
  <si>
    <t>BL_Gaming_MAU_Game_Played_Daily</t>
  </si>
  <si>
    <t>Telenor_KPI_Report</t>
  </si>
  <si>
    <t>Asia_DM_Target_vs_Ach_Report</t>
  </si>
  <si>
    <t>AT-Airtel_IN_Revenue_Report</t>
  </si>
  <si>
    <t>CENTILITHAILAND</t>
  </si>
  <si>
    <t>Asia_Global_Revene_Report</t>
  </si>
  <si>
    <t>BD_Revenue_Report</t>
  </si>
  <si>
    <t>Dialog_Umobilemy_Revenue_Report</t>
  </si>
  <si>
    <t>D:\CENTILITHAILAND\Asia_Report\Driver</t>
  </si>
  <si>
    <t>D:\CENTILITHAILAND\Bangldesh_Report</t>
  </si>
  <si>
    <t>D:\CENTILITHAILAND\Dialog_Umobilemy_Report</t>
  </si>
  <si>
    <t>Cellcard</t>
  </si>
  <si>
    <t>Smartfren_CA_Daily_Report</t>
  </si>
  <si>
    <t>D:\CA_Asia\CELLCARD\CELLCARD_KPI_Report</t>
  </si>
  <si>
    <t>D:\CA_Asia\CELLCARD\CellCard_CA_Client_Report</t>
  </si>
  <si>
    <t>D:\CENTILITHAILAND\Asia_Report\Macro</t>
  </si>
  <si>
    <t>DIALOGCA</t>
  </si>
  <si>
    <t>SINGAPORE(JAZZ)</t>
  </si>
  <si>
    <t>ONMOGAMES JAZZ Report</t>
  </si>
  <si>
    <t>TELENORMYCA</t>
  </si>
  <si>
    <t>UMOBILEMY</t>
  </si>
  <si>
    <t>UMobile_Rbt_Report</t>
  </si>
  <si>
    <t>Celcom</t>
  </si>
  <si>
    <t>Celcom_CA_KPI_Report</t>
  </si>
  <si>
    <t>TRUEMOVE</t>
  </si>
  <si>
    <t>Truemove_CA_KPI_Report</t>
  </si>
  <si>
    <t>D:\PK_JAZZ\JAZZ_GameCube_Report\Driver</t>
  </si>
  <si>
    <t>D:\CA_Asia\CA_Telenor\TELENOR_CA_KPI_Daily_Report</t>
  </si>
  <si>
    <t>D:\UMobile\RBT_Report\Driver</t>
  </si>
  <si>
    <t>D:\CA\CA_CELCOM\Driver</t>
  </si>
  <si>
    <t>D:\CA\CA_DIALOG\Driver</t>
  </si>
  <si>
    <t>D:\CA\CA_TRUEMOVE\Driver</t>
  </si>
  <si>
    <t xml:space="preserve">DIALOG </t>
  </si>
  <si>
    <t>MOD report</t>
  </si>
  <si>
    <t>Dialog AYCE</t>
  </si>
  <si>
    <t>D:\Dialog\Dialog_RBT_Daily_Report\Driver</t>
  </si>
  <si>
    <t>D:\Dialog\Driver</t>
  </si>
  <si>
    <t>D:\Dialog\Dialog_MOD_Daily_Report\Driver</t>
  </si>
  <si>
    <t>D:\Dialog\Dialog_UPRBT_Daily_Report\Driver</t>
  </si>
  <si>
    <t>Python</t>
  </si>
  <si>
    <t>Celcom_Challenge_Arena_Report</t>
  </si>
  <si>
    <t>Automated</t>
  </si>
  <si>
    <t xml:space="preserve">Telenor_Challenge_Arena_Report </t>
  </si>
  <si>
    <t>HUTCHSL_CA_Report</t>
  </si>
  <si>
    <t>AIS</t>
  </si>
  <si>
    <t>AIS_Onmo_Report</t>
  </si>
  <si>
    <t>AIS CA Report</t>
  </si>
  <si>
    <t>AIS KPI Report</t>
  </si>
  <si>
    <t>NAGADBD_Report_client</t>
  </si>
  <si>
    <t>TrueMove_Challenge_Arena_Report</t>
  </si>
  <si>
    <t>TRUEMOVE Games Report</t>
  </si>
  <si>
    <t>Python Reports</t>
  </si>
  <si>
    <t>TELKOMSELCA</t>
  </si>
  <si>
    <t>Dialog_MOD_Monthly_Report</t>
  </si>
  <si>
    <t>Dialog_Top50_SongDownloads</t>
  </si>
  <si>
    <t>Diaog_CP</t>
  </si>
  <si>
    <t>Dialog_Summary_Reports</t>
  </si>
  <si>
    <t>Dialog_UPRBT_POP_PRP</t>
  </si>
  <si>
    <t>Dialog</t>
  </si>
  <si>
    <t>D:\ASIA</t>
  </si>
  <si>
    <t>Weekly Reports</t>
  </si>
  <si>
    <t>Bkash_CP_Reports</t>
  </si>
  <si>
    <t>Dialog_Revenue_Report</t>
  </si>
  <si>
    <t>D:\Python</t>
  </si>
  <si>
    <t>Grameen_MIS_RRBT_New</t>
  </si>
  <si>
    <t>Grameen_MIS_RBT_New</t>
  </si>
  <si>
    <t>Every Monday</t>
  </si>
  <si>
    <t>Grameen_Grace_base_RRBT_Weekly_Report</t>
  </si>
  <si>
    <t>Grameen_Grace_base_RBT_Weekly_Report</t>
  </si>
  <si>
    <t>D:\RBT_Asia\Grameen\Grameen_RBT_New</t>
  </si>
  <si>
    <t>D:\RBT_Asia\Grameen\Grameen_RRBT_New</t>
  </si>
  <si>
    <t>Weekly (Thursday)</t>
  </si>
  <si>
    <t>Banglalink_Gamification_Report</t>
  </si>
  <si>
    <t>AT-Airtel_Utilization_Report</t>
  </si>
  <si>
    <t>Banglalink_Gratification_Data</t>
  </si>
  <si>
    <t>Shivaraj</t>
  </si>
  <si>
    <t>Ramesh</t>
  </si>
  <si>
    <t>D:\Dialog\Dialog_Without_Corporate_Daily_Report\Driver</t>
  </si>
  <si>
    <t>Airtel_Wynk_MIS_Report</t>
  </si>
  <si>
    <t>D:\AirTel\Wynk_MIS</t>
  </si>
  <si>
    <t>Airtel_IN_Revenue_Report</t>
  </si>
  <si>
    <t>D:\AirTel\Airtel_IN_Revenue_Report</t>
  </si>
  <si>
    <t>Airtel_Utilization_Report</t>
  </si>
  <si>
    <t>D:\AirTel\Utilization_report</t>
  </si>
  <si>
    <t>Airtel_SSA_Report</t>
  </si>
  <si>
    <t>D:\Airtel_SSA_Report</t>
  </si>
  <si>
    <t>TELENOR_CA_Daily_Report</t>
  </si>
  <si>
    <t>D:\Python\CA_Telenor\TELENOR_CA_Daily_Report</t>
  </si>
  <si>
    <t>AIS_CA_Report</t>
  </si>
  <si>
    <t>D:\CA_Asia\AIS\AIS_CA_Daily_Report</t>
  </si>
  <si>
    <t>AIS_KPI_Report</t>
  </si>
  <si>
    <t>D:\CA_Asia\AIS\AIS_KPI_Report</t>
  </si>
  <si>
    <t>CELCOM_CA_Daily_Report</t>
  </si>
  <si>
    <t>D:\Python\CELCOM\CELCOM_CA_Daily_Report</t>
  </si>
  <si>
    <t>TrueMove_CA_Daily_Report</t>
  </si>
  <si>
    <t>D:\Python\CENTILITHAILAND\TrueMove_CA_Daily_Report</t>
  </si>
  <si>
    <t>TrueMove_GameCube_Report</t>
  </si>
  <si>
    <t>D:\Python\CENTILITHAILAND\TrueMove_GameCube_Report</t>
  </si>
  <si>
    <t>DIALOG_CA_Daily_Report</t>
  </si>
  <si>
    <t>D:\Python\DIALOG\DIALOG_CA_Daily_Report</t>
  </si>
  <si>
    <t>DIALOG_ONMO_Daily_Report</t>
  </si>
  <si>
    <t>D:\Python\DIALOG\DIALOG_ONMO_Daily_Report\Report</t>
  </si>
  <si>
    <t>DIGIMALAYSIA</t>
  </si>
  <si>
    <t>STOPED</t>
  </si>
  <si>
    <t>D:\Python\DIGIMALAYSIA</t>
  </si>
  <si>
    <t>KHALTI_CA_Daily_Report</t>
  </si>
  <si>
    <t>D:\Python\KHALTI_CA\KHALTI_CA_Daily_Report</t>
  </si>
  <si>
    <t>HUTCHSL_CA_Daily_Report</t>
  </si>
  <si>
    <t>D:\CA_Asia\HUTCHSL\HUTCHSL_CA_Daily_Report - New</t>
  </si>
  <si>
    <t>AIS_Onmo_Daily_Report</t>
  </si>
  <si>
    <t>D:\Python\AIS\AIS_ONMO_Daily_Report\Driver</t>
  </si>
  <si>
    <t>Cellcard_CA_Report</t>
  </si>
  <si>
    <t>D:\Python\CA_CELLCARD\CELLCARD_CA_Daily_Report\Driver</t>
  </si>
  <si>
    <t>DTAC_CA_Daily_Report</t>
  </si>
  <si>
    <t>CA_Telenor</t>
  </si>
  <si>
    <t>CELCOM</t>
  </si>
  <si>
    <t>TrueMove</t>
  </si>
  <si>
    <t>DIALOG</t>
  </si>
  <si>
    <t>KHALTI</t>
  </si>
  <si>
    <t>HUTCHSL</t>
  </si>
  <si>
    <t>CELLCARD</t>
  </si>
  <si>
    <t>DTAC</t>
  </si>
  <si>
    <t>Airtel</t>
  </si>
  <si>
    <t>Banglalink</t>
  </si>
  <si>
    <t>Stopped-26th/Oct</t>
  </si>
  <si>
    <t>AIS_CA_KPI</t>
  </si>
  <si>
    <t>Banglalink_KPI_Report</t>
  </si>
  <si>
    <t>Cellcard_KPI_Report</t>
  </si>
  <si>
    <t>Cellcom_CA_KPI</t>
  </si>
  <si>
    <t>Dailog_CA_KPI</t>
  </si>
  <si>
    <t>HUTCHSL_KPI_Report</t>
  </si>
  <si>
    <t>Truemove_CA_KPI</t>
  </si>
  <si>
    <t>Content_Report_BD_Opcos</t>
  </si>
  <si>
    <t>Banglalink_Submgr_Data</t>
  </si>
  <si>
    <t>Banglalink_Games_Report</t>
  </si>
  <si>
    <t>Banglalink_Toffee_Report</t>
  </si>
  <si>
    <t>Banglalink_Gamize_Report</t>
  </si>
  <si>
    <t xml:space="preserve">DWH_report </t>
  </si>
  <si>
    <t>Banglalink_Played_Report</t>
  </si>
  <si>
    <t>Telcomcel_CA_Daily_Report</t>
  </si>
  <si>
    <t>D:\Python\Banglalink\Banglalink_Played_Report</t>
  </si>
  <si>
    <t>D:\Python\Banglalink\Baglalink_Games_Report</t>
  </si>
  <si>
    <t>D:\Python\Banglalink\BAnglalink_Toffee_Report</t>
  </si>
  <si>
    <t>D:\CA_Asia\Banglalink\DWH_Report</t>
  </si>
  <si>
    <t>D:\Python\TELKOMSELCA\TELKOMSELCA_CA_Daily_Report</t>
  </si>
  <si>
    <t>D:\Python\UPAY_CA\UPAY_CA_Daily_Report</t>
  </si>
  <si>
    <t>D:\Python\UPAY_CA\CA_UPAY_GAMES</t>
  </si>
  <si>
    <t>D:\Python\ROBI_CA\ROBIBD_CA_Daily_Report</t>
  </si>
  <si>
    <t>D:\Python\ROBI_CA\ROBIBD_CA_Client_Daily_Report</t>
  </si>
  <si>
    <t>D:\Python\ROBI_CA\CA_ROBI_GAMES</t>
  </si>
  <si>
    <t>D:\Python\CA_OCADE_CLIENT</t>
  </si>
  <si>
    <t>D:\Python\CA_OCADE_GAMES</t>
  </si>
  <si>
    <t>D:\Python\DHIRAAGUCA_CA\DHIRAAGU_CA_Daily_Report</t>
  </si>
  <si>
    <t>UPAY_CA_Gmaes_Report</t>
  </si>
  <si>
    <t>NAGAD_CA_Gmames_Report</t>
  </si>
  <si>
    <t>UPAY_CA_Report</t>
  </si>
  <si>
    <t>ROBIBD_CA_Report</t>
  </si>
  <si>
    <t>ROBIBD_CA_Internal_Report</t>
  </si>
  <si>
    <t>DHIRAAGU_CA_Report</t>
  </si>
  <si>
    <t>ROBI_CA_Gmames_Report</t>
  </si>
  <si>
    <t>Ocade_CA_Report</t>
  </si>
  <si>
    <t>Ocade_CA</t>
  </si>
  <si>
    <t>UPAYBD</t>
  </si>
  <si>
    <t>NAGAD</t>
  </si>
  <si>
    <t>Ocade</t>
  </si>
  <si>
    <t>DHIRAAGU</t>
  </si>
  <si>
    <t>D:\Python\DTAC_Thailand\DTAC_Thailand_Daily_CA_Report</t>
  </si>
  <si>
    <t>D:\CA_Asia\Smartfren_TELKOMSELCA\TELKOMSELCA_CA_Daily_Report</t>
  </si>
  <si>
    <t>ROBI_Airtel</t>
  </si>
  <si>
    <t>D:\Python\Asia\RobiBD_Airtel\RBT</t>
  </si>
  <si>
    <t>TrueMove_ONMO_Report</t>
  </si>
  <si>
    <t/>
  </si>
  <si>
    <t>MIS_Reports</t>
  </si>
  <si>
    <t>Roopashree S L; GMIS</t>
  </si>
  <si>
    <t>GMIS</t>
  </si>
  <si>
    <t>Shivaraj GV; GMIS</t>
  </si>
  <si>
    <t>Veda N; GMIS</t>
  </si>
  <si>
    <t>Yenugula Rameshbabu; GMIS</t>
  </si>
  <si>
    <t>Shivaraj GV</t>
  </si>
  <si>
    <t>GMIS; Yenugula Rameshbabu</t>
  </si>
  <si>
    <t>VODACOMMZ_IVR_Utilization</t>
  </si>
  <si>
    <t>africa_siteops</t>
  </si>
  <si>
    <t>MTNAFG_IVR_Utilization</t>
  </si>
  <si>
    <t>retheesh.ravi@onmobile.com; Faize Mon; manish.kumar1@onmobile.com</t>
  </si>
  <si>
    <t>STC_Bahrain_IVR_Utilization</t>
  </si>
  <si>
    <t>Zainbh_AZAAN_Activation</t>
  </si>
  <si>
    <t>Shivaraj GV; Yenugula Rameshbabu; GMIS</t>
  </si>
  <si>
    <t>Praneet Ranjan</t>
  </si>
  <si>
    <t>Unitel_Msearch_missing_daily_report</t>
  </si>
  <si>
    <t>Yenugula Rameshbabu; GMIS; yogashree@onmobile.com</t>
  </si>
  <si>
    <t>Sfcom_Gratification</t>
  </si>
  <si>
    <t>MTNAFG_RBT_UPGRADE_Report</t>
  </si>
  <si>
    <t>Submgr_Report_BD_Thailand_Opcos</t>
  </si>
  <si>
    <t>Abhilash Panicker</t>
  </si>
  <si>
    <t>Vodacomsa_RBT_Active_base_Report</t>
  </si>
  <si>
    <t>BKAS_CA_CONTEST_ACTIVEBASE</t>
  </si>
  <si>
    <t>umme.hani@bkash.com; nafisa.faruque@bkash.com; faisal.bhuiyan@bkash.com; waisulker.naieen@bkash.com; ashiqul.islam@bkash.com; Rohit Mohan Tiwari; Sabareesha K C</t>
  </si>
  <si>
    <t>GMIS; phanendra.vasuk@onmobile.com</t>
  </si>
  <si>
    <t>ZB_SMS_Subscription_Active_Base_Report</t>
  </si>
  <si>
    <t>Yatin Dua; Praneet Ranjan; International OBD; Tariq Ziad A Abdelrahman</t>
  </si>
  <si>
    <t>STC_Bahrain_RBT_Activation_Report_of_Mode_PRESS1</t>
  </si>
  <si>
    <t>Praneet Ranjan; Tariq Ziad A Abdelrahman</t>
  </si>
  <si>
    <t>satyendra.shah@onmobile.com; Roopashree S L; CentralOps_RBT; Sivakumar Ramasamy; GMIS</t>
  </si>
  <si>
    <t>Ocade_Daily_Pack_Cumm_UU_Report</t>
  </si>
  <si>
    <t>Daius_Subscription_Report_Thailand_Opcos</t>
  </si>
  <si>
    <t>shubhangi@onmobile.com; GMIS</t>
  </si>
  <si>
    <t>ROBIBD_RBT_Active_Base</t>
  </si>
  <si>
    <t>Prasanth Prabhakaran; COBD-APAC</t>
  </si>
  <si>
    <t>Roopashree S L; Veda N; GMIS</t>
  </si>
  <si>
    <t>AIRTEL_WARID_RBT_Active_Base</t>
  </si>
  <si>
    <t>Airtel_RBT_Toneplayer_Utilization_Report</t>
  </si>
  <si>
    <t>Roopashree S L; Yenugula Rameshbabu; GMIS</t>
  </si>
  <si>
    <t>GMIS; Veda N</t>
  </si>
  <si>
    <t>GP_XRBT_MR_Revenue_Report</t>
  </si>
  <si>
    <t>mamunur.hasan@onmobile.com; mmhoque@grameenphone.com; fuad.tanvir@grameenphone.com; abrar@grameenphone.com; sshowkat@grameenphone.com; anant.rathod@onmobile.com</t>
  </si>
  <si>
    <t>Sfcom_Mega_Contest</t>
  </si>
  <si>
    <t>Rimson John Lobo; Allan Kiplangat Rotich</t>
  </si>
  <si>
    <t>Faize Mon; manish.kumar1@onmobile.com; retheesh.ravi@onmobile.com</t>
  </si>
  <si>
    <t>BSNL_CA_REPORT</t>
  </si>
  <si>
    <t>Roopashree S L; GMIS; satyendra.shah@onmobile.com</t>
  </si>
  <si>
    <t>Banglalink_coins_report</t>
  </si>
  <si>
    <t>RBT Export to Excel - One97</t>
  </si>
  <si>
    <t>amit1.kushwaha@paytm.com; arpan.verma@paytm.com; amitabh.sinha@one97.net; Monish Dhabre; amit.kumar@paytm.com; ankit mandloi; vishal.raikwar@one97.net; amitabh.sinha@paytm.com; suraj.singh@paytm.com; suraj.singh@paytm.com; anshu2.mishra@paytm.com; pankaj.saboo@onmobile.com; yogashree@onmobile.com</t>
  </si>
  <si>
    <t>GMIS; Roopashree S L</t>
  </si>
  <si>
    <t>Safaricom Quiz</t>
  </si>
  <si>
    <t>Sfcom_Winners_List</t>
  </si>
  <si>
    <t>MTNNigeria_CA_TransID</t>
  </si>
  <si>
    <t>MTNNigeria_ONMO_TransID</t>
  </si>
  <si>
    <t>Airtel-RobiBD_RBT_RRBT_Report || Nov-2024</t>
  </si>
  <si>
    <t>srey.seyha@cellcard.com.kh</t>
  </si>
  <si>
    <t>GMIS; Amrish Tandon; Masudul Islam</t>
  </si>
  <si>
    <t>Unitel-Angola TP Utilization Daily Report</t>
  </si>
  <si>
    <t>Rimson John Lobo; Lilian Kokuboneza Ishabakaki; MEA_ProgramTeam; DL_DCS-DDOS-SES@unitel.co.ao; DL_DOS-DOCP-OP@unitel.co.ao; Africa-Delivery; helder.sa@unitel.co.ao; teresa.franco@unitel.co.ao; decio.ramos@unitel.co.ao; Tushar Gupta2</t>
  </si>
  <si>
    <t>Yatin Dua; Ravi Agarwal; Praneet Ranjan</t>
  </si>
  <si>
    <t>ZB_active_live_base</t>
  </si>
  <si>
    <t>Yatin Dua; Ravi Agarwal; International OBD; Praneet Ranjan</t>
  </si>
  <si>
    <t>ZB_Full_Transaction_Details</t>
  </si>
  <si>
    <t>Monish Dhabre; vinay.kumar1@onmobile.com</t>
  </si>
  <si>
    <t>Rimson John Lobo; Allan Kiplangat Rotich; bhagyaraj.pm@onmobile.com</t>
  </si>
  <si>
    <t>bhagyaraj.pm@onmobile.com; Allan Kiplangat Rotich</t>
  </si>
  <si>
    <t>Report stopped only queries running for other MAU report so don’t stop this in server</t>
  </si>
  <si>
    <t>AIS_TH_Daius_Subscription_Report</t>
  </si>
  <si>
    <t>GMIS; Shivaraj GV</t>
  </si>
  <si>
    <t>Asia_DM_Target_vs_Ach_Report Apr-24</t>
  </si>
  <si>
    <t>Vi_Games_2GB_winners_Report</t>
  </si>
  <si>
    <t>Karthik M; dhawala.rao@vodafoneidea.com; alwyn.almeidia@vodafoneidea.com; Thirukumaran K; meghnan.gupta@onmobile.com; Suresh Santhanavel</t>
  </si>
  <si>
    <t>Daily_Campaign_Data</t>
  </si>
  <si>
    <t>Rohit Mohan Tiwari; Magesh Mathialagan; Amrish Tandon; Vikram Jeet Singh; shakawat.bizbee@gmail.com; rbsamiur@gmail.com</t>
  </si>
  <si>
    <t>Vi_Games_Repeated_Visited_All_Days_in_Month_Report</t>
  </si>
  <si>
    <t>Banglalink_Events_Failure_Data</t>
  </si>
  <si>
    <t>Banglalink_CA_Churn_data</t>
  </si>
  <si>
    <t>Praneet Ranjan; Ankit Dixit; Sugandha Chadha; Randeep Singh</t>
  </si>
  <si>
    <t>ZONG_CA</t>
  </si>
  <si>
    <t>ZONG</t>
  </si>
  <si>
    <t>Illena Du Plessis; Nainesh Dixit; Pritesh Anand Sankpal; Sulaiman Sarang; jenson.rodrigues@onmobile.com; International OBD</t>
  </si>
  <si>
    <t>raja@socialbeat.in; shashank.anand@socialbeat.in; anvita.kasina@socialbeat.in; ashish.pandya@socialbeat.in; Magesh Mathialagan; Sugandha Chadha</t>
  </si>
  <si>
    <t>ZONG_Daius_Subscription_Report</t>
  </si>
  <si>
    <t>Jenikson T; Vikram Jeet Singh</t>
  </si>
  <si>
    <t>Telenor_ONMO_Daius_Subscription_Report</t>
  </si>
  <si>
    <t>Telenor_CA_Daius_Subscription_Report</t>
  </si>
  <si>
    <t>Dialog_CA_Daius_Subscription_Report</t>
  </si>
  <si>
    <t>Vikram Jeet Singh; Jenikson T</t>
  </si>
  <si>
    <t>Dialog_ONMO_Daius_Subscription_Report</t>
  </si>
  <si>
    <t>Vodacomsa_RBT_Daily_REPORT</t>
  </si>
  <si>
    <t>IDEA_Active_subscriber_Notin_Selection_Report</t>
  </si>
  <si>
    <t>VODAFONE_Active_subscriber_Notin_Selection_Report</t>
  </si>
  <si>
    <t>ETISALATONMO_Daius_Subscription_Report</t>
  </si>
  <si>
    <t>raja@socialbeat.in; shashank.anand@socialbeat.in; anvita.kasina@socialbeat.in; ashish.pandya@socialbeat.in; Sugandha Chadha</t>
  </si>
  <si>
    <t>LEBARAUAE_Daius_Subscription_Report</t>
  </si>
  <si>
    <t>VODACOMTZ_Daius_Subscription_Report</t>
  </si>
  <si>
    <t>VODACOMSA_CA_ONMO</t>
  </si>
  <si>
    <t>shashank.anand@socialbeat.in; raja@socialbeat.in; Vikram Jeet Singh; Jenikson T; arpha.weeranon@onmobile.com</t>
  </si>
  <si>
    <t>STC_Bahrain_Azaan_Base_Report</t>
  </si>
  <si>
    <t>Praneet Ranjan; Arnold Prem D'Souza; COBD-MiddleEast; Yatin Dua; Tariq Ziad A Abdelrahman</t>
  </si>
  <si>
    <t>ONFONMEDIA_CP_Daily_Report</t>
  </si>
  <si>
    <t>MTNSA_Contest</t>
  </si>
  <si>
    <t>aishwarya.chaturvedi@onmobile.com; ala.uddin@banglalink.net; Rohit Mohan Tiwari</t>
  </si>
  <si>
    <t>MTNSA_Daily_Report_Activation_price_changes</t>
  </si>
  <si>
    <t>ZB_ActiveBase_Song_Download</t>
  </si>
  <si>
    <t>Praneet Ranjan; Ravi Agarwal; Yatin Dua</t>
  </si>
  <si>
    <t>AA_Spice_Report</t>
  </si>
  <si>
    <t>Arnold Prem D'Souza; Veda N; GMIS</t>
  </si>
  <si>
    <t>DWH_MAU_Report</t>
  </si>
  <si>
    <t>ZB_Azan_base</t>
  </si>
  <si>
    <t>Ravi Agarwal; International OBD; Praneet Ranjan</t>
  </si>
  <si>
    <t>VODACOMSA_IVR_Utilization</t>
  </si>
  <si>
    <t>manish.rathore@onmobile.com; GMIS</t>
  </si>
  <si>
    <t>Sfcom_Contest</t>
  </si>
  <si>
    <t>Jaffar Sadiq M S; Sabareesha K C</t>
  </si>
  <si>
    <t>SF Kenya Anti Fraud GCLID</t>
  </si>
  <si>
    <t>Rimson John Lobo; Rahul Khare</t>
  </si>
  <si>
    <t>TELKOMSA_GCLID</t>
  </si>
  <si>
    <t>Riyasudeen A I; Sugandha Chadha; Rahul Khare</t>
  </si>
  <si>
    <t>Rimson John Lobo</t>
  </si>
  <si>
    <t>Yenugula Rameshbabu; manish.rathore@onmobile.com; GMIS</t>
  </si>
  <si>
    <t>GMIS; shubhangi@onmobile.com; piety.fernandes@onmobile.com</t>
  </si>
  <si>
    <t>piety.fernandes@onmobile.com; GMIS</t>
  </si>
  <si>
    <t>Yenugula Rameshbabu; piety.fernandes@onmobile.com; GMIS</t>
  </si>
  <si>
    <t>shubhangi@onmobile.com; piety.fernandes@onmobile.com; GMIS</t>
  </si>
  <si>
    <t>Jenikson T; Magesh Mathialagan; Arpit Bora; Vikram Jeet Singh; Rohit Mohan Tiwari; Uday Panda; soma.bolar@onmobile.com; sangeetha.v@onmobile.com; Prashanth Srinivas; indumathi.v@onmobile.com; rajesh.vr@onmobile.com; Deepu M G; Shaik Jakeer Ahmad; Rahul Khare; tushar.mhatre@onmobile.com; Babu D.R</t>
  </si>
  <si>
    <t>tushar.mhatre@onmobile.com</t>
  </si>
  <si>
    <t>Shivaraj GV; piety.fernandes@onmobile.com; Roopashree S L; GMIS</t>
  </si>
  <si>
    <t>OOREDOOMAN_ONMO_GCLID_Report</t>
  </si>
  <si>
    <t>Sugandha Chadha; Riyasudeen A I</t>
  </si>
  <si>
    <t>OMANTEL_ONMO_GCLID_Report</t>
  </si>
  <si>
    <t>piety.fernandes@onmobile.com; yogashree@onmobile.com; GMIS; shubhangi@onmobile.com</t>
  </si>
  <si>
    <t>COBD-BSNL; COBD</t>
  </si>
  <si>
    <t>piety.fernandes@onmobile.com; GMIS; shubhangi@onmobile.com</t>
  </si>
  <si>
    <t>\\MIS_Reports_Aug_24\MIS_Reports</t>
  </si>
  <si>
    <t>satyendra.shah@onmobile.com; shubhangi@onmobile.com; GMIS</t>
  </si>
  <si>
    <t>Sfcom_Data</t>
  </si>
  <si>
    <t>Airtel_ROBI_Low_Balance_Report</t>
  </si>
  <si>
    <t>fatema.nashra@robi.com.bd; Masudul Islam; Rohit Mohan Tiwari</t>
  </si>
  <si>
    <t>CellCard_Campaign_GCLID_Report</t>
  </si>
  <si>
    <t>OS RBT Utilization Report</t>
  </si>
  <si>
    <t>Saju.Sudhakaran@onmobile.com; International RBT GSOC; Orange Espana Soporte</t>
  </si>
  <si>
    <t>Praneet Ranjan; retheesh.ravi@onmobile.com; Tariq Ziad A Abdelrahman</t>
  </si>
  <si>
    <t>Praneet Ranjan; Magesh Mathialagan; Tariq Ziad A Abdelrahman</t>
  </si>
  <si>
    <t>sineha@eand.com; fpraino@eand.com; ahill@eand.com</t>
  </si>
  <si>
    <t>sumanth.dambla@onmobile.com; Rahul Khare</t>
  </si>
  <si>
    <t>Magesh Mathialagan; Praneet Ranjan; bineesh@onmobile.com; sumanth.dambla@onmobile.com; bhagyaraj.pm@onmobile.com; tushar.mhatre@onmobile.com; Romi Santhalia; Tariq Ziad A Abdelrahman; aishwarya.chaturvedi@onmobile.com; Sukruth Srinivasan</t>
  </si>
  <si>
    <t>ZAINIRAQ_Capped_Counts</t>
  </si>
  <si>
    <t>Riyasudeen A I</t>
  </si>
  <si>
    <t>ASIACELLIRAQ_Capped_Counts</t>
  </si>
  <si>
    <t>anant.rathod@onmobile.com; Masudul Islam; mamunur.hasan@onmobile.com; Amrish Tandon; shubhangi@onmobile.com; GMIS</t>
  </si>
  <si>
    <t>Lilian Kokuboneza Ishabakaki; Rimson John Lobo; Magesh Mathialagan; Rahul Khare; Sabareesha K C; MEA_ProgramTeam; shikha.arora@onmobile.com; Sukruth Srinivasan</t>
  </si>
  <si>
    <t>COBD; Sabareesha K C; Satyakam Mohapatra; Sunil Kumar S R; Yatin Dua; Roshan Mehboopkhan; Mohammed Suhail Chuna</t>
  </si>
  <si>
    <t>Rimson John Lobo; Rahul Khare; shikha.arora@onmobile.com</t>
  </si>
  <si>
    <t>Rahul Khare; shikha.arora@onmobile.com</t>
  </si>
  <si>
    <t>Vikram Jeet Singh; Amrish Tandon; Krittiya Praisontarangkul; Magesh Mathialagan; Arpit Bora; Saurabh Kumar; Jenikson T; shikha.arora@onmobile.com</t>
  </si>
  <si>
    <t>kiduse@gmail.com; samworld64@gmail.com; Mollamakida@gmail.com</t>
  </si>
  <si>
    <t>VF_Qatar_RBT_MIS_Report</t>
  </si>
  <si>
    <t>Praneet Ranjan; Arnold Prem D'Souza; Saju.Sudhakaran@onmobile.com; Gattu Sridhar; Monish Dhabre; Abhilash Panicker</t>
  </si>
  <si>
    <t>ZB_VP_Full_Transaction_Details</t>
  </si>
  <si>
    <t>Praneet Ranjan; Yatin Dua; Tariq Ziad A Abdelrahman</t>
  </si>
  <si>
    <t>Rimson John Lobo; Wallace.Omobhude@mtn.com; Funso.Finnih@mtn.com; Emmanuel Chukwunwike Chinweze</t>
  </si>
  <si>
    <t>DU_MIS-Content_Dld</t>
  </si>
  <si>
    <t>Arnold Prem D'Souza</t>
  </si>
  <si>
    <t>Saju.Sudhakaran@onmobile.com; Roopashree S L; GMIS; Praneet Ranjan</t>
  </si>
  <si>
    <t>Banglalink_Gaming MAU unique_MDNs list</t>
  </si>
  <si>
    <t>Umesh Galappa; sajay.s@onmobile.com</t>
  </si>
  <si>
    <t>Praneet Ranjan; Magesh Mathialagan; Fahad.Alyahya@bh.zain.com; tushar.mhatre@onmobile.com; Tariq Ziad A Abdelrahman</t>
  </si>
  <si>
    <t>GMIS; International CVAS GSOC; Global CVAS Support; DaiusIndia_Support; saju.sudhakaran@onmobile.com; Sugandha Chadha</t>
  </si>
  <si>
    <t>Tariq Ziad A Abdelrahman; Praneet Ranjan</t>
  </si>
  <si>
    <t>Sabareesha K C; bhagyaraj.pm@onmobile.com; Magesh Mathialagan; Ankit Dixit; Sugandha Chadha; tushar.mhatre@onmobile.com; Romi Santhalia; GMIS; aishwarya.chaturvedi@onmobile.com; Sukruth Srinivasan</t>
  </si>
  <si>
    <t>Yavoy_RBT_Report</t>
  </si>
  <si>
    <t>ali.arreaza@telefonica.com; inigo.velezurbizu@telefonica.com; alberto.riazuelolatas@telefonica.com; joseantonio.benedibores@telefonica.com</t>
  </si>
  <si>
    <t>Sunil Kumar Patra; borja.jimenez@onmobile.com</t>
  </si>
  <si>
    <t>Arnold Prem D'Souza; Rimson John Lobo; Sulaiman Sarang; Pritesh Anand Sankpal; Nainesh Dixit; Monish Dhabre; MEA_ProgramTeam; Lerato Schoombee; Illena Du Plessis</t>
  </si>
  <si>
    <t>Sunil Kumar S R; Satyakam Mohapatra; Yatin Dua</t>
  </si>
  <si>
    <t>bhagyaraj.pm@onmobile.com; Romi Santhalia; aishwarya.chaturvedi@onmobile.com; Abhilash Panicker</t>
  </si>
  <si>
    <t>GMIS; piety.fernandes@onmobile.com; Roopashree S L; Praneet Ranjan</t>
  </si>
  <si>
    <t>HHLAING7@ooredoo.com.mm; AWin3@ooredoo.com.mm; NZin.EXTL@ooredoo.com.mm; Amrish Tandon; gokul.dinesh@onmobile.com</t>
  </si>
  <si>
    <t>Amrish Tandon; Masudul Islam; gokul.dinesh@onmobile.com; Rohit Mohan Tiwari</t>
  </si>
  <si>
    <t>Mahabaleshwara.Bairi@onmobile.com; Sivakumar Ramasamy; CentralOps_RBT</t>
  </si>
  <si>
    <t>fatema.nashra@robi.com.bd; shafiq.razzaq@robi.com.bd; mohaiminul.Hoque@robi.com.bd; gokul.dinesh@onmobile.com; Rohit Mohan Tiwari; Masudul Islam; Amrish Tandon; Biprodas Chayan; gokul.dinesh@onmobile.com</t>
  </si>
  <si>
    <t>gokul.dinesh@onmobile.com; Rohit Mohan Tiwari; Amrish Tandon; Jenikson T</t>
  </si>
  <si>
    <t>Banglalink_Leaderboard_Report</t>
  </si>
  <si>
    <t>Masudul Islam; GMIS; gokul.dinesh@onmobile.com; Rohit Mohan Tiwari</t>
  </si>
  <si>
    <t>m.kamal@banglalink.net; rashed.moslem@banglalink.net; Masudul Islam; gokul.dinesh@onmobile.com; Rohit Mohan Tiwari</t>
  </si>
  <si>
    <t>VIL_CRBT_Bundle_Content_Report</t>
  </si>
  <si>
    <t>Monish Dhabre</t>
  </si>
  <si>
    <t>VIL_CRBT_Bundle_Transaction_Report</t>
  </si>
  <si>
    <t>Monish Dhabre; Seema.mishra@vodafoneidea.com; Yenugula Rameshbabu</t>
  </si>
  <si>
    <t>VIL_CRBT_Bundle_Report</t>
  </si>
  <si>
    <t>anant.rathod@onmobile.com; gokul.dinesh@onmobile.com; Masudul Islam; himanshua@onmobile.com; foahmed@banglalink.net; asia_delivery; anik.dhar@banglalink.net; arif.mannan@banglalink.net; Rohit Mohan Tiwari; abrar.abir@banglalink.net</t>
  </si>
  <si>
    <t>Rhythm.Kothari@airtel.com; shahnawaz.anwar@airtel.com; Pardeep.Singla@airtel.com; subhojit.dutta@onmobile.com; Subrat Mohanty; ashish1.bhardwaj@airtel.com; jay.rath@onmobile.com; Suresh Santhanavel; prabhakaran.s@airtel.com; Arun1.MV@airtel.com; sudeep.varshney@airtel.com; Parthasarathi.Dey@airtel.com; anupam1.kumar@airtel.com; danish.ansari@airtel.com; rutul.gupte@airtel.com; Samuel.Joshua@airtel.com; amiya.bastia@airtel.com; arnab1.das@airtel.com; mrinal.kant@airtel.com; ashish3.saxena@airtel.com; jojo.john@airtel.com; Haresh.Savalia@airtel.com; rahul1.mittal@airtel.com; bipul.kumar@airtel.com; jai.patel@airtel.com; vipin.garg@airtel.com; Ankit Dixit; gokul.dinesh@onmobile.com; Amarjeet Singh; mrutunjay.das@onmobile.com; Shashank Sharma; Aravind S Panicker; Tushar Gupta2</t>
  </si>
  <si>
    <t>Yatin Dua; Sunil Kumar S R; Satyakam Mohapatra; anand.d@onmobile.com; deepak.doswada@onmobile.com; shashikant.daruka1@onmobile.com; Dipak.Mishra@onmobile.com; vivek.chugh@onmobile.com; sumit.tripathi@onmobile.com; gokul.dinesh@onmobile.com; varsha.agarwal@onmobile.com; anshuman.mukherjee@onmobile.com</t>
  </si>
  <si>
    <t>sendhil.s.nath@onmobile.com; Dinakaran.S@onmobile.com; megha.saraswat@onmobile.com; Umesh Galappa</t>
  </si>
  <si>
    <t>Orange_Spain_RBT_Performance_Report</t>
  </si>
  <si>
    <t>Sunil Kumar Patra; Jean-Marc.edeline@onmobile.com; Orange Espana Soporte; Patricia Perez; José Luis Prada Vales; José Luis Prada Vales; Nuria Campa; saju.sudhakaran@onmobile.com; International VP GSOC; International CVAS GSOC; International RBT GSOC; International_PRISM_GSOC; International_UMP_GSOC; Saju.Sudhakaran@onmobile.com; cesar.lopez@onmobile.com; inigo.contreras@onmobile.com</t>
  </si>
  <si>
    <t>RBTProductTeam@onmobile.com; Roopashree S L; GMIS</t>
  </si>
  <si>
    <t>ORG_SPN_Immediate_Churn</t>
  </si>
  <si>
    <t>cesar.lopez@onmobile.com; Jose Manco</t>
  </si>
  <si>
    <t>ORG_SPN_Content_Data</t>
  </si>
  <si>
    <t>Sunil Kumar Patra; José Luis Prada Vales; Nuria Campa; International VP GSOC; International CVAS GSOC; International RBT GSOC; International_PRISM_GSOC; International_UMP_GSOC; Saju.Sudhakaran@onmobile.com</t>
  </si>
  <si>
    <t>sanjay.sah@onmobile.com; satyendra.shah@onmobile.com; Patricia Perez; RBTProductTeam@onmobile.com; Roopashree S L; GMIS; borja.jimenez@onmobile.com; inigo.contreras@onmobile.com; Jose Manco</t>
  </si>
  <si>
    <t>Suresh Santhanavel; Karthik M; Thirukumaran K; Yenugula Rameshbabu; GMIS</t>
  </si>
  <si>
    <t>sumit.seth@onmobile.com; Magesh Mathialagan; Vikram Jeet Singh; tushar.mhatre@onmobile.com</t>
  </si>
  <si>
    <t>yogashree@onmobile.com; shubhangi@onmobile.com; GMIS; piety.fernandes@onmobile.com</t>
  </si>
  <si>
    <t>sochiel@safaricom.co.ke</t>
  </si>
  <si>
    <t>piety.fernandes@onmobile.com; GMIS; International CVAS GSOC; Global CVAS Support; DaiusIndia_Support; saju.sudhakaran@onmobile.com; Sugandha Chadha</t>
  </si>
  <si>
    <t>ZAINBH_RBT_REPORT</t>
  </si>
  <si>
    <t>Praneet Ranjan; Arnold Prem D'Souza; Tariq Ziad A Abdelrahman; Monish Dhabre; Abhilash Panicker</t>
  </si>
  <si>
    <t>Yavoy_Soporte; Sunil Kumar Patra; José Luis Prada Vales; Nuria Campa; Saju.Sudhakaran@onmobile.com; International VP GSOC; International CVAS GSOC; International RBT GSOC; International_PRISM_GSOC; International_UMP_GSOC; Patricia Perez</t>
  </si>
  <si>
    <t>ali.arreaza@telefonica.com; Unmesh Sansare; Jose Manco; Yavoy_Soporte; Sunil Kumar Patra; Patricia Perez; José Luis Prada Vales; ankur.g@onmobile.com; Rajesh Kumar Panithi; inigo.velezurbizu@telefonica.com; alberto.riazuelolatas@telefonica.com; joseantonio.benedibores@telefonica.com; inigo.contreras@onmobile.com; cesar.lopez@onmobile.com</t>
  </si>
  <si>
    <t>DigitalOperations@mtn.com.sy; RJnad@mtn.com.sy; KQabaqibo@mtn.com.sy; rdamaa@mtn.com.sy; amahayni@mtn.com.sy; YButros@mtn.com.sy; Sara Esmat Abou El Azm; Jerin Mathew</t>
  </si>
  <si>
    <t>david.martinez-millansanz@telefonica.com; Ignacio Osborne; José Luis Prada Vales; Jose Javier Sanchez Heredia; Juan Olivares Diez; udbhav.bhatia@onmobile.com; Arbaaz Saqlain; Nagesh Lakshminarasappa; Hernan Falbo Alvarez; Sukruth Srinivasan; Nuria Campa</t>
  </si>
  <si>
    <t>Praneet Ranjan; Abdul.Momand@mtn.com; Khalil.Ahmadzai@mtn.com; Mayank.Thakkar@mtn.com; Monish Dhabre; Abhilash Panicker</t>
  </si>
  <si>
    <t>Arnold Prem D'Souza; Faize Mon; GMIS; DevOps_L3_Prism</t>
  </si>
  <si>
    <t>Praneet Ranjan; Arnold Prem D'Souza; jagmeet@yrmpt.com; crbt@yrmpt.com; Abdul.Momand@mtn.com; DevOps_L3_Prism; International RBT GSOC</t>
  </si>
  <si>
    <t>jeel.mehta1@onmobile.com; hill.nahian@banglalink.net; syed.navid@annanovas.com; ala.uddin@banglalink.net; aseer.islam@banglalink.net; Arbaaz Saqlain; viek.vadwa@onmobile.com; Nandyala Giri Vardhan Reddy; Gayathri Lakshmanan</t>
  </si>
  <si>
    <t>Ooredomy_subscription_msisdn</t>
  </si>
  <si>
    <t>ooredomy_activebase_notplayed_last1month_msisdn</t>
  </si>
  <si>
    <t>hill.nahian@banglalink.net; khaledul.hasan@banglalink.net; moshiur.aunik@banglalink.net; Arbaaz Saqlain</t>
  </si>
  <si>
    <t>Javier Carmona Gonzalez; melisa.torres@onmobile.com; vito.savino@onmobile.com; tapash.ghosh@onmobile.com; ankur.g@onmobile.com; International CVAS GSOC; Juan Olivares Diez; Ignacio Osborne; Maria Guadalupe Juanas Lopez; Hernan Falbo Alvarez; José Luis Prada Vales; cristina.ortega@onmobile.com; vinod.anumula@onmobile.com; borja.gutierrezgomez@onmobile.com; Sukruth Srinivasan; vinod.anumula@onmobile.com; Unmesh Sansare; International CVAS GSOC; Global CVAS Support; DaiusIndia_Support; saju.sudhakaran@onmobile.com</t>
  </si>
  <si>
    <t>VD NonRBT Report North</t>
  </si>
  <si>
    <t>anshu2.mishra@paytm.com; dheeraj.satyarthi@paytm.com; arpan.verma@paytm.com; Monish Dhabre; seema.mishra@vodafoneidea.com; Karthik M</t>
  </si>
  <si>
    <t>STC_Bahrain_98989_Transactions</t>
  </si>
  <si>
    <t>Banglalink_CA_Session_Time_Report</t>
  </si>
  <si>
    <t>Banglalink_Today_Not_Played_Yesterday_Played_Report</t>
  </si>
  <si>
    <t>Banglalink_Click_Not_Play_Report</t>
  </si>
  <si>
    <t>Banglalink_Daily_New_Visitor_Report</t>
  </si>
  <si>
    <t>Idea_Bundle_No_Song_Base_Report</t>
  </si>
  <si>
    <t>Monish Dhabre; vodafone.service@paytm.com; idea.service@paytm.com; sunny.choyal@paytm.com; chaturanand.pandey@paytm.com; Karthik M</t>
  </si>
  <si>
    <t>Yenugula Rameshbabu; GMIS; Prafull.Patil9@vodafoneidea.com; dheeraj.satyarthi@paytm.com; Monish Dhabre; suraj3.rajput@paytm.com; seema.mishra@vodafoneidea.com; Karthik M</t>
  </si>
  <si>
    <t>Vodafone_Bundle_No_song_Base_Report</t>
  </si>
  <si>
    <t>Venkatesan Palani; Ratikanta Roy; Suresh Santhanavel; Monish Dhabre; Karthik M; Sabareesha K C</t>
  </si>
  <si>
    <t>Idea - RBT Export to Excel - One97</t>
  </si>
  <si>
    <t>amit.kumar@one97.net; abhey.thareja@one97.net; amitabh.sinha@one97.net; Monish Dhabre; prabhat.kumar@onmobile.com; pankaj.saboo@onmobile.com; suraj.singh@one97.net; anshu2.mishra@paytm.com; yogashree@onmobile.com</t>
  </si>
  <si>
    <t>Active Users for Song Change</t>
  </si>
  <si>
    <t>Vodafone_Churn180Days</t>
  </si>
  <si>
    <t>chetan.wakchaure9@vodafone.com; Aniket.Sorate1@vodafone.com; Marketing.Assist@vodafone.com; Monish Dhabre</t>
  </si>
  <si>
    <t>Previous Day Song Download</t>
  </si>
  <si>
    <t>vodafone_reports@ubona.com; Monish Dhabre</t>
  </si>
  <si>
    <t>CorporateandNonCorporateActiveBAse SouthWest</t>
  </si>
  <si>
    <t>kangkan@ubona.com; girish.dara@vodafone.com; gaurav@ubona.com; shishir@ubona.com; vodafone_freeibd@ubona.com; mis_vodafone@ubona.com; sumit.dulloo@ubona.com; Monish Dhabre; arpan.verma@one97.net; amit1.kushwaha@paytm.com; mohit.bansal@one97.net; suraj.singh@one97.net; ankur.prabhakar@one97.net; pankaj1.singh@one97.net; ankit mandloi</t>
  </si>
  <si>
    <t>hadolwa@onfonmedia.com; rmuchai@onfonmedia.com; jakinyi@onfonmedia.com; business@onfonmedia.tz; labella@onfonmedia.com; qmataua@onfonmedia.com; dmatavele@onfonmedia.com</t>
  </si>
  <si>
    <t>ETISALATONMO_Capped_Counts</t>
  </si>
  <si>
    <t>Riyasudeen A I; Sugandha Chadha</t>
  </si>
  <si>
    <t>Ankit Dixit; Tariq Ziad A Abdelrahman; Sugandha Chadha; Magesh Mathialagan; Praneet Ranjan; Riyasudeen A I; Monish Dhabre; Abhilash Panicker; Sukruth Srinivasan; Amar Arora; Saurabh Kumar</t>
  </si>
  <si>
    <t>Sugandha Chadha; Praneet Ranjan; Magesh Mathialagan; kowshik@onmobile.com; GMIS; Ankit Dixit; Faize Mon; Randeep Singh</t>
  </si>
  <si>
    <t>kowshik@onmobile.com; Faize Mon; Randeep Singh; Arvind Krishnan; aditya@onmobile.com; Magesh Mathialagan; Roopashree S L; GMIS; Riyasudeen A I; Bhavna Saxena; Abhilash Panicker; Monish Dhabre; Sukruth Srinivasan; Amar Arora; Saurabh Kumar</t>
  </si>
  <si>
    <t>Allan Kiplangat Rotich; Rimson John Lobo; Magesh Mathialagan; Rahul Khare; Rahul Raina; Randeep Singh; Arvind Krishnan; Romi Santhalia; Bhavna Saxena; Lilian Kokuboneza Ishabakaki; Sukruth Srinivasan; Somesh Kumar Bagree; Riyasudeen A I; Saurabh Kumar</t>
  </si>
  <si>
    <t>Rimson John Lobo; Rahul Khare; Magesh Mathialagan; Allan Kiplangat Rotich; MEA_ProgramTeam; Sabareesha K C; shikha.arora@onmobile.com; Sukruth Srinivasan; Riyasudeen A I; Saurabh Kumar</t>
  </si>
  <si>
    <t>Rimson John Lobo; sumanth.dambla@onmobile.com; Unmesh Sansare; Lilian Kokuboneza Ishabakaki; tushar.mhatre@onmobile.com; Rahul Khare; MEA_ProgramTeam; Magesh Mathialagan; Riyasudeen A I; Saurabh Kumar</t>
  </si>
  <si>
    <t>vivek.vadwa@onmobile.com; gokul.dinesh@onmobile.com; Amrish Tandon; kowshik@onmobile.com; Vikram Jeet Singh; Magesh Mathialagan; Sugandha Chadha; Riyasudeen A I; Jenikson T; Krittiya Praisontarangkul; shikha.arora@onmobile.com; Sukruth Srinivasan; Saurabh Kumar</t>
  </si>
  <si>
    <t>Vivek Vadwa'; Amrish Tandon; Arvind Krishnan; Randeep Singh; 'Tapash Kumar Ghosh'; gokul.dinesh@onmobile.com; Sukruth Srinivasan; Krittiya Praisontarangkul; Saurabh Kumar; Saurabh Kumar</t>
  </si>
  <si>
    <t>sendhil.s.nath@onmobile.com; jeel.mehta1@onmobile.com; vivek.kubaji@onmobile.com; priya.singh1@onmobile.com; vivek.vadwa@onmobile.com</t>
  </si>
  <si>
    <t>Allan Kiplangat Rotich; Rimson John Lobo; Magesh Mathialagan; Rahul Khare; Sabareesha K C; Romi Santhalia; MEA_ProgramTeam; Sukruth Srinivasan; Riyasudeen A I; Saurabh Kumar</t>
  </si>
  <si>
    <t>Rohit Mohan Tiwari; Masudul Islam; Amrish Tandon; Vikram Jeet Singh; Umesh Galappa; Suresh Santhanavel; 'Kowshik Komandur'; Magesh Mathialagan; Jenikson T; Randeep Singh; Arvind Krishnan; Thirukumaran K; Bhavna Saxena; Sukruth Srinivasan; Saurabh Kumar</t>
  </si>
  <si>
    <t>Sabareesha K C; bhagyaraj.pm@onmobile.com; Tariq Ziad A Abdelrahman; Magesh Mathialagan; rajsuma.polipalli1@onmobile.com; Sugandha Chadha; tushar.mhatre@onmobile.com; Romi Santhalia; Praneet Ranjan; Riyasudeen A I; aishwarya.chaturvedi@onmobile.com; Sukruth Srinivasan; Amar Arora; Saurabh Kumar</t>
  </si>
  <si>
    <t>AbidKhan; Rohit Mohan Tiwari; kowshik@onmobile.com; Amrish Tandon</t>
  </si>
  <si>
    <t>Amrish Tandon; Saurabh Kumar; 'Vikram Jeet Singh Gokul Dinesh'; Vikram Jeet Singh; Magesh Mathialagan; 'Kowshik Komandur'; Rohit Mohan Tiwari; Jenikson T; Karthik M; Sukruth Srinivasan; Saurabh Kumar</t>
  </si>
  <si>
    <t>Rimson John Lobo; Sabareesha K C; Rajesh Kumar Panithi; Magesh Mathialagan; Rahul Khare; Lerato Schoombee; Romi Santhalia; MEA_ProgramTeam; Sugandha Chadha; Magesh Mathialagan; Riyasudeen A I; Sukruth Srinivasan; Sulaiman Sarang; Pritesh Anand Sankpal; Riyasudeen A I; Saurabh Kumar</t>
  </si>
  <si>
    <t>Sugandha Chadha; Riyasudeen A I; Amar Arora; Saurabh Kumar</t>
  </si>
  <si>
    <t>Amrish Tandon; gokul.dinesh@onmobile.com; vivek.vadwa@onmobile.com; kowshik@onmobile.com; Umesh Galappa; Arvind Krishnan; Bhavna Saxena; Jenikson T; Randeep Singh</t>
  </si>
  <si>
    <t>subhojit.dutta@onmobile.com; kowshik@onmobile.com; Amrish Tandon; gokul.dinesh@onmobile.com; Randeep Singh; Magesh Mathialagan; Vikram Jeet Singh; Jenikson T; Karthik M; Sukruth Srinivasan; Krittiya Praisontarangkul; Saurabh Kumar</t>
  </si>
  <si>
    <t>Rimson John Lobo; Elisa Victor Manhique; MEA_ProgramTeam; Riyasudeen A I</t>
  </si>
  <si>
    <t>Magesh Mathialagan; Amrish Tandon; Saurabh Kumar; kowshik@onmobile.com; Uday Panda; Arpit Bora; Vikram Jeet Singh; Sukruth Srinivasan; Rohit Mohan Tiwari; gokul.dinesh@onmobile.com; Masudul Islam; Arvind Krishnan; Bhavna Saxena; Randeep Singh; Jenikson T; tushar.mhatre@onmobile.com; shikha.arora@onmobile.com; Sukruth Srinivasan; Saurabh Kumar</t>
  </si>
  <si>
    <t>Rimson John Lobo; Rahul Khare; Magesh Mathialagan; Emmanuel Chukwunwike Chinweze; MEA_ProgramTeam; Randeep Singh; Saurabh Kumar; Riyasudeen A I; Saurabh Kumar</t>
  </si>
  <si>
    <t>GMIS; Arvind Krishnan; bhagyaraj.pm@onmobile.com; Shikhar Singh; Randeep Singh; Gattu Sridhar; Sugandha Chadha; Sourav Samaddar; gaurav.prabhu@onmobile.com; Mukundhar G; S Balasubramaniyan; aditya@onmobile.com; Sugandha Chadha; tushar.mhatre@onmobile.com; ankit.kumar@onmobile.com; kowshik@onmobile.com; Riyasudeen A I; Bhavna Saxena; aishwarya.chaturvedi@onmobile.com; Magesh Mathialagan; Randeep Singh; Monish Dhabre; Abhilash Panicker; Sukruth Srinivasan; Amar Arora; Saurabh Kumar</t>
  </si>
  <si>
    <t>kowshik@onmobile.com; Rohit Mohan Tiwari; gokul.dinesh@onmobile.com; moshiour.emran@robi.com.bd; SEKH.AHMED@robi.com.bd; al.mehedie@robi.com.bd; Masudul Islam; Amrish Tandon</t>
  </si>
  <si>
    <t>BD_Revenue_Report  || Mar-25</t>
  </si>
  <si>
    <t>Rimson John Lobo; Allan Kiplangat Rotich; Rahul Khare; Magesh Mathialagan; MEA_ProgramTeam; Randeep Singh; Arvind Krishnan; Bhavna Saxena; shikha.arora@onmobile.com; Sukruth Srinivasan; Riyasudeen A I; Saurabh Kumar</t>
  </si>
  <si>
    <t>Gokul.dinesh@onmobile.com; vivek.vadwa@onmobile.com; Amrish Tandon; kowshik@onmobile.com; Saurabh Kumar; Jenikson T; Vikram Jeet Singh; Magesh Mathialagan; Sukruth Srinivasan; Saurabh Kumar</t>
  </si>
  <si>
    <t>Rahul Khare; Madan Rao; Arvind Krishnan; Bhavna Saxena; MEA_ProgramTeam; Randeep Singh; Magesh Mathialagan; Sugandha Chadha; Riyasudeen A I; Sulaiman Sarang; Rimson John Lobo; Riyasudeen A I; Saurabh Kumar; Saurabh Kumar</t>
  </si>
  <si>
    <t>vivek.vadwa@onmobile.com; Amrish Tandon; kowshik@onmobile.com; Magesh Mathialagan; sumit.seth@onmobile.com; tushar.mhatre@onmobile.com; akashdeep.balgotra@onmobile.com; Arvind Krishnan; Vikram Jeet Singh; akashdeep.balgotra@onmobile.com; Bhavna Saxena; Jenikson T; gokul.dinesh@onmobile.com; arpha.weeranon@onmobile.com; Randeep Singh; Rahul Khare; Karthik M; Sukruth Srinivasan; Krittiya Praisontarangkul; Rohit Mohan Tiwari; Saurabh Kumar</t>
  </si>
  <si>
    <t>Bhagyaraj P M'; Sabareesha K C; GMIS; Sourav Samaddar; 'Gaurav Venkatesh Prabhu'; Mukundhar G; S Balasubramaniyan; Sugandha Chadha; Magesh Mathialagan; tushar.mhatre@onmobile.com; kowshik@onmobile.com; Romi Santhalia; Riyasudeen A I; aishwarya.chaturvedi@onmobile.com; Monish Dhabre; Abhilash Panicker; Sukruth Srinivasan; Amar Arora; Saurabh Kumar</t>
  </si>
  <si>
    <t>eva.genzor@alten.es; luisalberto.santiago@masorange.es; José Luis Prada Vales; Nuria Campa; Saju.Sudhakaran@onmobile.com</t>
  </si>
  <si>
    <t>sumit.seth@onmobile.com; Magesh Mathialagan; Vikram Jeet Singh; Rahul Raina; ajaykumar.pal@onmobile.com; prathapan.k@onmobile.com; vivek.vadwa@onmobile.com; kowshik@onmobile.com; Randeep Singh; manaf.basheeer1@onmobile.com; tushar.mhatre@onmobile.com; Amrish Tandon; gokul.dinesh@onmobile.com; vinay.kumar1@onmobile.com; aditya@onmobile.com; Arvind Krishnan; ankit.kumar@onmobile.com; Bhavna Saxena; Jenikson T; Randeep Singh; Sukruth Srinivasan; Abhilash Panicker; Rohit Mohan Tiwari; Saurabh Kumar</t>
  </si>
  <si>
    <t>Rahul Khare; akashdeep.balgotra@onmobile.com; Magesh Mathialagan; Vikram Jeet Singh; Praneet Ranjan; Ravi Agarwal; Sugandha Chadha; tushar.mhatre@onmobile.com; kowshik@onmobile.com; Monish Dhabre; Abhilash Panicker; Sukruth Srinivasan</t>
  </si>
  <si>
    <t>Magesh Mathialagan; kowshik@onmobile.com; Vikram Jeet Singh; kowshik@onmobile.com; Amrish Tandon; Krittiya Praisontarangkul; Jenikson T; Abhilash Panicker; Suresh Santhanavel; Arvind Krishnan; Bhavna Saxena; arpha.weeranon@onmobile.com; Randeep Singh; Sukruth Srinivasan; Saurabh Kumar</t>
  </si>
  <si>
    <t>Magesh Mathialagan; kowshik@onmobile.com; Vikram Jeet Singh; kowshik@onmobile.com; Amrish Tandon; Krittiya Praisontarangkul; Jenikson T; Abhilash Panicker; arpha.weeranon@onmobile.com; Sukruth Srinivasan; Saurabh Kumar</t>
  </si>
  <si>
    <t>Gattu Sridhar; Magesh Mathialagan; Vikram Jeet Singh; Sabareesha K C; bhagyaraj.pm@onmobile.com; muralidharan.n@onmobile.com; kowshik@onmobile.com; GMIS; Sugandha Chadha; Sourav Samaddar; 'Gaurav Venkatesh Prabhu'; Mukundhar G; S Balasubramaniyan; Sugandha Chadha; tushar.mhatre@onmobile.com; Romi Santhalia; Riyasudeen A I; aishwarya.chaturvedi@onmobile.com; Monish Dhabre; Abhilash Panicker; Sukruth Srinivasan; Amar Arora; Saurabh Kumar</t>
  </si>
  <si>
    <t>Allan Kiplangat Rotich; Rimson John Lobo; Magesh Mathialagan; Rahul Khare; Rajesh Kumar Panithi; Sabareesha K C; Romi Santhalia; MEA_ProgramTeam; Lilian Kokuboneza Ishabakaki; Sukruth Srinivasan; Riyasudeen A I; Saurabh Kumar</t>
  </si>
  <si>
    <t>Amrish Tandon; Vikram Jeet Singh; Magesh Mathialagan; kowshik@onmobile.com; Rohit Mohan Tiwari; Masudul Islam; Umesh Galappa; Biprodas Chayan; Saurabh Kumar; Jenikson T; Saurabh Kumar</t>
  </si>
  <si>
    <t>Magesh Mathialagan; kowshik@onmobile.com; Vikram Jeet Singh; Amrish Tandon; Krittiya Praisontarangkul; Jenikson T; Abhilash Panicker; arpha.weeranon@onmobile.com; Saurabh Kumar</t>
  </si>
  <si>
    <t>vivek.vadwa@onmobile.com; mohd.azaz@onmobile.com; Vikram Jeet Singh; vinay.kumar1@onmobile.com</t>
  </si>
  <si>
    <t>Pritesh Anand Sankpal; Lerato Schoombee; Illena Du Plessis</t>
  </si>
  <si>
    <t>Magesh Mathialagan; Vikram Jeet Singh; Amrish Tandon; gokul.dinesh@onmobile.com; kowshik@onmobile.com; Jenikson T; Sukruth Srinivasan; Abhilash Panicker; Rohit Mohan Tiwari; Saurabh Kumar</t>
  </si>
  <si>
    <t>Magesh Mathialagan; Amrish Tandon; Saurabh Kumar; kowshik@onmobile.com; Uday Panda; Arpit Bora; Vikram Jeet Singh; Sukruth Srinivasan; Rohit Mohan Tiwari; gokul.dinesh@onmobile.com; ajaykumar.pal@onmobile.com; Sugandha Chadha; Masudul Islam; Arvind Krishnan; Bhavna Saxena; aishwarya.chaturvedi@onmobile.com; Jenikson T; shikha.arora@onmobile.com; Saurabh Kumar</t>
  </si>
  <si>
    <t>syed.hasan@bkash.com; syed.naimahmed@bkash.com; Rohit Mohan Tiwari; kowshik@onmobile.com; yaseer.prottoy@bkash.com; faisal.shaheed@bkash.com</t>
  </si>
  <si>
    <t>Rimson John Lobo; Rahul Khare; Magesh Mathialagan; shikha.arora@onmobile.com; Sukruth Srinivasan; Riyasudeen A I; Saurabh Kumar</t>
  </si>
  <si>
    <t>muhammad.bashir1@omantel.om; noor.balushi@omantel.om; fahima.saeedi@omantel.om; Ahmed.Mughtasi@omantel.om; qais.farsi@omantel.om; Kumar S; Arnold Prem D'Souza; Tariq Ziad A Abdelrahman; Ankit Dixit; Gattu Sridhar; Unmesh Sansare; Praneet Ranjan; kowshik@onmobile.com; Monish Dhabre; Abhilash Panicker</t>
  </si>
  <si>
    <t>Ankit Dixit; Tariq Ziad A Abdelrahman; Sugandha Chadha; Magesh Mathialagan; kowshik@onmobile.com; Praneet Ranjan; Riyasudeen A I; Arvind Krishnan; Bhavna Saxena; Monish Dhabre; Abhilash Panicker; Amar Arora; Saurabh Kumar</t>
  </si>
  <si>
    <t>Dialog_CA_ONMO_GCLID</t>
  </si>
  <si>
    <t>Tariq Ziad A Abdelrahman; ankit.kumar@onmobile.com; Sugandha Chadha; Magesh Mathialagan; kowshik@onmobile.com; Praneet Ranjan; Riyasudeen A I; Arvind Krishnan; Bhavna Saxena; Randeep Singh; Monish Dhabre; Abhilash Panicker; Sukruth Srinivasan; Amar Arora; Saurabh Kumar</t>
  </si>
  <si>
    <t>Rimson John Lobo; Lilian Kokuboneza Ishabakaki; Rahul Khare; MEA_ProgramTeam; Emmanuel Chukwunwike Chinweze; Randeep Singh; Magesh Mathialagan; shikha.arora@onmobile.com; Sukruth Srinivasan; Riyasudeen A I; Saurabh Kumar</t>
  </si>
  <si>
    <t>Airtel-RobiBD_RBT_RRBT_Report || Mar-2025</t>
  </si>
  <si>
    <t>Tariq Ziad A Abdelrahman; Sugandha Chadha; Magesh Mathialagan; kowshik@onmobile.com; Praneet Ranjan; Riyasudeen A I; Monish Dhabre; Abhilash Panicker; Amar Arora; Saurabh Kumar</t>
  </si>
  <si>
    <t>Shivaraj GV; 'Piety Fernandes'; Roopashree S L; GMIS</t>
  </si>
  <si>
    <t>Rohit Mohan Tiwari; avinash@khalti.com; sajeev@khalti.com; dhruba@khalti.com; Romi Santhalia; aishwarya.chaturvedi@onmobile.com; Jenikson T; pranish.balami@khalti.com; ritesh.karki@khalti.com; Sukruth Srinivasan; Saurabh Kumar</t>
  </si>
  <si>
    <t>Amrish Tandon; 'Kowshik Komandur'; GMIS</t>
  </si>
  <si>
    <t>Allan Kiplangat Rotich; Rimson John Lobo; Magesh Mathialagan; Rahul Khare; Sabareesha K C; Lilian Kokuboneza Ishabakaki; Romi Santhalia; MEA_ProgramTeam; Riyasudeen A I; Sukruth Srinivasan; Saurabh Kumar</t>
  </si>
  <si>
    <t>Gamecity_activebase_msisdn_Report</t>
  </si>
  <si>
    <t>Karthik M; Mohammed Suhail Chuna; Bhavna Saxena</t>
  </si>
  <si>
    <t>Telkomsel_GCLID</t>
  </si>
  <si>
    <t>shikha.arora@onmobile.com; Jenikson T; Umesh Galappa; Magesh Mathialagan; Amrish Tandon; Saurabh Kumar; kowshik@onmobile.com; Uday Panda; Arpit Bora; Vikram Jeet Singh; Sukruth Srinivasan; Rohit Mohan Tiwari; Uday Panda; sangeetha.v@onmobile.com; Prashanth Srinivas; Deepu M G; Shaik Jakeer Ahmad; Rahul Khare; tushar.mhatre@onmobile.com; Babu D.R; Sugandha Chadha; Abhilash Panicker</t>
  </si>
  <si>
    <t>Ocade_actibebase_msisdn_Report</t>
  </si>
  <si>
    <t>Allan Kiplangat Rotich; Rimson John Lobo; Magesh Mathialagan; Rahul Khare; Sabareesha K C; Romi Santhalia; MEA_ProgramTeam; Emmanuel Chukwunwike Chinweze; shikha.arora@onmobile.com; Sukruth Srinivasan; Riyasudeen A I; Saurabh Kumar</t>
  </si>
  <si>
    <t>Ajay Kumar Pal'; 'Vivek Vadwa'; Amrish Tandon; 'Kowshik Komandur'; Magesh Mathialagan; 'Sumit Seth'; Vikram Jeet Singh; 'Tushar Ramesh Mhatre'; 'K Phanendra Vasu'; Rajesh Kumar Panithi; akashdeep.balgotra@onmobile.com; Romi Santhalia; Bhavna Saxena; Jenikson T; gokul.dinesh@onmobile.com; arpha.weeranon@onmobile.com; Rahul Khare; Karthik M; Sukruth Srinivasan; Krittiya Praisontarangkul; Rohit Mohan Tiwari; Saurabh Kumar</t>
  </si>
  <si>
    <t>Lilian Kokuboneza Ishabakaki; Rimson John Lobo; Rahul Khare; Magesh Mathialagan; liberatus.njuu@onmobile.com; Sukruth Srinivasan; Romi Santhalia; MEA_ProgramTeam; Riyasudeen A I</t>
  </si>
  <si>
    <t>Ajay Kumar Pal'; 'Sumit Seth'; Magesh Mathialagan; Amrish Tandon; 'Vivek Vadwa'; 'Tushar Ramesh Mhatre'; Krittiya Praisontarangkul; 'Kowshik Komandur'; akashdeep.balgotra@onmobile.com; Arvind Krishnan; Vikram Jeet Singh; Bhavna Saxena; Abhilash Panicker; Jenikson T; arpha.weeranon@onmobile.com; Randeep Singh; Sukruth Srinivasan; Saurabh Kumar</t>
  </si>
  <si>
    <t>Rimson John Lobo; Rahul Khare; MEA_ProgramTeam; Magesh Mathialagan; Emmanuel Chukwunwike Chinweze; Riyasudeen A I; Sukruth Srinivasan; Saurabh Kumar</t>
  </si>
  <si>
    <t>Rimson John Lobo; Lilian Kokuboneza Ishabakaki; Rahul Khare; Magesh Mathialagan; Romi Santhalia; MEA_ProgramTeam; shikha.arora@onmobile.com; Sukruth Srinivasan; Emmanuel Chukwunwike Chinweze; Riyasudeen A I; Saurabh Kumar</t>
  </si>
  <si>
    <t>Rimson John Lobo; Lilian Kokuboneza Ishabakaki; Rahul Khare; Allan Kiplangat Rotich; Randeep Singh; Arvind Krishnan; Bhavna Saxena; MEA_ProgramTeam; Magesh Mathialagan; Riyasudeen A I; Sukruth Srinivasan; Saurabh Kumar</t>
  </si>
  <si>
    <t>Monish Dhabre; vodafone.service@paytm.com; idea.service@paytm.com; sunny.choyal@paytm.com; chaturanand.pandey@paytm.com; prafull.patil9@vodafoneidea.com; seema.mishra@vodafoneidea.com; Karthik M</t>
  </si>
  <si>
    <t>Magesh Mathialagan; Amrish Tandon; Vikram Jeet Singh; Krittiya Praisontarangkul; kowshik@onmobile.com; Saurabh Kumar; Bhavna Saxena; Jenikson T; Abhilash Panicker; arpha.weeranon@onmobile.com; Sukruth Srinivasan</t>
  </si>
  <si>
    <t>vivek.vadwa@onmobile.com; Krittiya Praisontarangkul; GMIS</t>
  </si>
  <si>
    <t>Rimson John Lobo; Rahul Khare; Magesh Mathialagan; Romi Santhalia; MEA_ProgramTeam; Emmanuel Chukwunwike Chinweze; Lilian Kokuboneza Ishabakaki; Sukruth Srinivasan; Riyasudeen A I; Saurabh Kumar</t>
  </si>
  <si>
    <t>Rimson John Lobo; Lilian Kokuboneza Ishabakaki; Rahul Khare; Romi Santhalia; MEA_ProgramTeam; Emmanuel Chukwunwike Chinweze; Magesh Mathialagan; Riyasudeen A I; Sukruth Srinivasan; Saurabh Kumar</t>
  </si>
  <si>
    <t>Rimson John Lobo; Emmanuel Chukwunwike Chinweze; Rahul Khare; Arvind Krishnan; Bhavna Saxena; MEA_ProgramTeam; Randeep Singh; Magesh Mathialagan; Lilian Kokuboneza Ishabakaki; Sukruth Srinivasan; Riyasudeen A I; Saurabh Kumar</t>
  </si>
  <si>
    <t>Arvind Krishnan; vivek.vadwa@onmobile.com; Amrish Tandon; kowshik@onmobile.com; Magesh Mathialagan; tushar.mhatre@onmobile.com; Arpit Bora; Romi Santhalia; Vikram Jeet Singh; Bhavna Saxena; Jenikson T; Krittiya Praisontarangkul; Randeep Singh; shikha.arora@onmobile.com; Sukruth Srinivasan; Saurabh Kumar</t>
  </si>
  <si>
    <t>10.170.19.11</t>
  </si>
  <si>
    <t>10.170.19.13</t>
  </si>
  <si>
    <t>Sabareesha K C; vijay.vichhi@onmobile.com; Sulaiman Sarang</t>
  </si>
  <si>
    <t>VFQatar CA Report || Apr-2025</t>
  </si>
  <si>
    <t>Zain BH CA Report || Apr-2025</t>
  </si>
  <si>
    <t>Grameen_CA_Report || Apr-2025</t>
  </si>
  <si>
    <t>Ocade_CA_Report || Apr-2025</t>
  </si>
  <si>
    <t>TRUEMOVE-DTAC Games Report  || Apr-2025</t>
  </si>
  <si>
    <t>Etisalat_UAE_ONMO_Report || Apr-2025</t>
  </si>
  <si>
    <t>SFCOM Mega Contest Report || Apr-25</t>
  </si>
  <si>
    <t>Rimson John Lobo; Rahul Khare; Magesh Mathialagan; shikha.arora@onmobile.com; Sukruth Srinivasan; Somesh Kumar Bagree; Allan Kiplangat Rotich; Riyasudeen A I; Lilian Kokuboneza Ishabakaki</t>
  </si>
  <si>
    <t>Dialog_Challenge_Arena_Report || Apr-2025</t>
  </si>
  <si>
    <t>SFCOM ESports Report || Apr-2025</t>
  </si>
  <si>
    <t>Omantel :: RBT_Report ||Apr-25</t>
  </si>
  <si>
    <t>OMANTEL_ONMO_Report || Apr-2025</t>
  </si>
  <si>
    <t>Ocade_Challenge_Arena_Report || Apr-2025</t>
  </si>
  <si>
    <t>MTNNIGERIA ONMO Report || Apr-2025</t>
  </si>
  <si>
    <t>Ooredo_Oman ONMO Daily Report || Apr-2025</t>
  </si>
  <si>
    <t>OOREDOOMAN_CA_Report || Apr-2025</t>
  </si>
  <si>
    <t>Airtel-RobiBD_RBT_RRBT_Report || Apr-2025</t>
  </si>
  <si>
    <t>Ethiotel CA Report || Apr-2025</t>
  </si>
  <si>
    <t>KHALTI_CA_Report || Apr-2025</t>
  </si>
  <si>
    <t>ROBIBD_Challenge_Arena_Internal_Report || Apr-2025</t>
  </si>
  <si>
    <t>Banglalink_Challenge_Arena_Report || Apr-2025</t>
  </si>
  <si>
    <t>MTNNIGERIA CA Report || Apr-2025</t>
  </si>
  <si>
    <t>AIS_Onmo_Report || Apr-2025</t>
  </si>
  <si>
    <t>UNITELANGOLA CA Report || Apr-2025</t>
  </si>
  <si>
    <t>MTNCAMEROONCA Report || Apr-2025</t>
  </si>
  <si>
    <t>Banglalink_Gamize_Report || Apr-2025</t>
  </si>
  <si>
    <t>BSNL_OBD_KPI_Report_Apr'25</t>
  </si>
  <si>
    <t>MTNIVORYCOAST CA Report || Apr-2025</t>
  </si>
  <si>
    <t>Ethiotel ONMO Report || Apr-2025</t>
  </si>
  <si>
    <t>AIS CA Report || Apr-2025</t>
  </si>
  <si>
    <t>Vi_Games_Report || Apr-2025</t>
  </si>
  <si>
    <t>AIRTELNIGERIA ONMO Report || Apr-2025</t>
  </si>
  <si>
    <t>MTNGHANA CA Report || Apr-2025</t>
  </si>
  <si>
    <t>AIRTELNIGERIA CA Report || Apr-2025</t>
  </si>
  <si>
    <t>Cellcard_CA_Report || Apr-2025</t>
  </si>
  <si>
    <t>Banglalink_Games_Report || Apr-2025</t>
  </si>
  <si>
    <t>Banglalink_Toffee_Report || Apr-2025</t>
  </si>
  <si>
    <t>Dhiragu_Gamize_Report || Apr-2025</t>
  </si>
  <si>
    <t>Vi_Gamize_Report || Apr-2025</t>
  </si>
  <si>
    <t>Telcomcel_CA_Daily_Report || Apr-2025</t>
  </si>
  <si>
    <t>UPAY_CA_Games_Report || Apr-2025</t>
  </si>
  <si>
    <t>ROBIBD_Challenge_Arena_Report || Apr-2025</t>
  </si>
  <si>
    <t>NAGAD_CA_Games_Report || Apr-2025</t>
  </si>
  <si>
    <t>Ocade_CA_Games_Report || Apr-2025</t>
  </si>
  <si>
    <t>DHIRAAGU_Challenges_Arena_Report || Apr-2025</t>
  </si>
  <si>
    <t>ROBI_CA_Games_Report || Apr-2025</t>
  </si>
  <si>
    <t>Atom_Challenge_Arena_Report || Apr-2025</t>
  </si>
  <si>
    <t>AIS KPI Report || Apr-2025</t>
  </si>
  <si>
    <t>Celcom_Challenge_Arena_Report || Apr-2025</t>
  </si>
  <si>
    <t>TrueMove-DTAC_Challenge_Arena_Report || Apr-2025</t>
  </si>
  <si>
    <t>TrueMove-DTAC_ONMO_Report || Apr-2025</t>
  </si>
  <si>
    <t>OML_GameCity_ONMO_Internal_Report || Apr-2025</t>
  </si>
  <si>
    <t>ZONG_Challenge_Arena_Internal_Report || Apr-2025</t>
  </si>
  <si>
    <t>ZONG_Challenge_Arena_Report || Apr-2025</t>
  </si>
  <si>
    <t>VNPT_ONMO_Subscription_Report || Apr-2025</t>
  </si>
  <si>
    <t>Dialog_Onmo_Report || Apr-2025</t>
  </si>
  <si>
    <t>DIGIMALAYSIA_Sports_Portal_Report || Apr-2025</t>
  </si>
  <si>
    <t>HUTCHSL_CA_Report || Apr-2025</t>
  </si>
  <si>
    <t>DTAC_CA_Report || Apr-2025</t>
  </si>
  <si>
    <t>Asia_Global_Revene_Report || Apr-2025</t>
  </si>
  <si>
    <t>BD_Revenue_Report  || Apr-25</t>
  </si>
  <si>
    <t>Dialog_Umobilemy_Revenue_Report  || Apr-24</t>
  </si>
  <si>
    <t>Dialog_RBT_Daily_Report || Apr-2025</t>
  </si>
  <si>
    <t>Dialog_PRBT_UPRBT_Daily_Report || Apr-2025</t>
  </si>
  <si>
    <t>Dialog_UPRBT_Daily_Report || Apr-2025</t>
  </si>
  <si>
    <t>sachindranathan@onmobile.com; GMIS</t>
  </si>
  <si>
    <t>SFCOMKEN ONMO Daily Report || Apr-25</t>
  </si>
  <si>
    <t>Allan Kiplangat Rotich; Rimson John Lobo; sachindranathan@onmobile.com; GMIS</t>
  </si>
  <si>
    <t>Ethiotel_CA_Report || Apr-2025</t>
  </si>
  <si>
    <t>sachindranathan@onmobile.com; GMIS; Rimson John Lobo; Allan Kiplangat Rotich; Lilian Kokuboneza Ishabakaki</t>
  </si>
  <si>
    <t>ZainBH Sport Portal || Apr-2025</t>
  </si>
  <si>
    <t>MTNNIGERIA_CA_Report || Apr-2025</t>
  </si>
  <si>
    <t>ZainBH Gaming Store || Apr-2025</t>
  </si>
  <si>
    <t>MtnUganda CA Report || Apr-2025</t>
  </si>
  <si>
    <t>TS_TonosDeEspera_RBT_Report || Apr-25</t>
  </si>
  <si>
    <t>GMIS; DevOps_L3_Prism; Saju.sudhakaran@onmobile.com; sachindranathan@onmobile.com</t>
  </si>
  <si>
    <t>GMIS; sachindranathan@onmobile.com</t>
  </si>
  <si>
    <t>Elisa Victor Manhique; GMIS; vijay.vichhi@onmobile.com; Yenugula Rameshbabu; sanjay.sah@onmobile.com</t>
  </si>
  <si>
    <t>Ratikanta Roy; Saju.Sudhakaran@onmobile.com; sanjay.sah@onmobile.com; satyendra.shah@onmobile.com; Yenugula Rameshbabu; GMIS; Rimson John Lobo; sachindranathan@onmobile.com; Jerin Mathew</t>
  </si>
  <si>
    <t>MTN-SYRIA_RBT_REPORT || Apr-2025</t>
  </si>
  <si>
    <t>Jawwal CA Report || Apr-2025</t>
  </si>
  <si>
    <t>GMIS; Rajesh Kumar Panithi; DevOps_L3_Prism; Saju.sudhakaran@onmobile.com; sachindranathan@onmobile.com</t>
  </si>
  <si>
    <t>MTNCONGOB CA Report || Apr-2025</t>
  </si>
  <si>
    <t>Rimson John Lobo; MEA_ProgramTeam; Rahul Khare; Randeep Singh; Saurabh Kumar; Sukruth Srinivasan; Riyasudeen A I; Saurabh Kumar</t>
  </si>
  <si>
    <t>LTFS_Gamize_Report || Apr-2025</t>
  </si>
  <si>
    <t>MtnZambia CA Report || Apr-2025</t>
  </si>
  <si>
    <t>Abhinandan.bhardwaj@ziikimedia.com; ashish.mittal@ziikimedia.com; chuks.anoke@ziikimedia.com; Arzia.nhapulo@ziikimedia.com; Rimson John Lobo; noah.okello@ziikimedia.com; asiago.brian@ziikimedia.com; camilla.owora@ziikimedia.com; vijay.vichhi@onmobile.com</t>
  </si>
  <si>
    <t>Mohammed Suhail Chuna; Karthik M; Krittiya Praisontarangkul; ashwin.gomez@onmobile.com; Bhavna Saxena</t>
  </si>
  <si>
    <t>ala.uddin@banglalink.net; Umesh Galappa; Suresh Santhanavel; aishwarya.chaturvedi@onmobile.com; meghna.gupta@onmobile.com; Thirukumaran K; Rohit Mohan Tiwari</t>
  </si>
  <si>
    <t>SFCOM Kids Report || Apr-2025</t>
  </si>
  <si>
    <t>BSNL_RBT_CA_Reports || Apr-2025</t>
  </si>
  <si>
    <t>Zain Iraq CA Report || Apr-2025</t>
  </si>
  <si>
    <t>sachindranathan@onmobile.com; piety.fernandes@onmobile.com; GMIS</t>
  </si>
  <si>
    <t>MTNSA CA Report || Apr-2025</t>
  </si>
  <si>
    <t>Ooredoo_Omantel_CA_Campaign_Report || Apr-2025</t>
  </si>
  <si>
    <t>StarHub_ONMO_Report || Apr-2025</t>
  </si>
  <si>
    <t>VodacomSA_GCLID_ONMO</t>
  </si>
  <si>
    <t>Rahul Khare; Rimson John Lobo; Jerin Mathew; Saurabh Kumar</t>
  </si>
  <si>
    <t>OML_GameCity_ONMO_Report || Apr-2025</t>
  </si>
  <si>
    <t>VODACOMMZ CA Report || Apr-2025</t>
  </si>
  <si>
    <t>Ooredoo_Omantel_Onmo_Campaign_Report || Apr-2025</t>
  </si>
  <si>
    <t>Startrek_Gamize_Report || Apr-2025</t>
  </si>
  <si>
    <t>Bkash_Onmo_Report || Apr-2025</t>
  </si>
  <si>
    <t>ORANGECAM CA Report || Apr-2025</t>
  </si>
  <si>
    <t>TELKOMSACA Report || Apr-25</t>
  </si>
  <si>
    <t>Rimson John Lobo; Saurabh Kumar; Madan Rao; Illena Du Plessis; Riyasudeen A I; Pritesh Anand Sankpal; Illena Du Plessis</t>
  </si>
  <si>
    <t>VFES_KidsPlanet_Daily_Subscription || Apr-25</t>
  </si>
  <si>
    <t>Patricia Perez; sachindranathan@onmobile.com; GMIS; Sunil Kumar Patra; Juandavid.alvarez@onmobile.com</t>
  </si>
  <si>
    <t>Rohit Mohan Tiwari; Amrish Tandon; kowshik@onmobile.com; jagath.ravikumar@unipin.com; akshay.sethi@unipin.com</t>
  </si>
  <si>
    <t>VFQatar ONMO Daily Report || Apr-2025</t>
  </si>
  <si>
    <t>MtnZambia ONMO Report || Apr-2025</t>
  </si>
  <si>
    <t>jose.alves@unitel.co.ao; kaima.manita@lsrepublicano.com; Nilton.barros@unitel.co.ao; patricia.almeida@grupochiado.com; Rimson John Lobo; Lilian Kokuboneza Ishabakaki; vijay.vichhi@onmobile.com</t>
  </si>
  <si>
    <t>ZainBH || Third_party_CP_Report || Apr-2025</t>
  </si>
  <si>
    <t>ZAIN_BAHRAIN_SMS_Subscription_Report || Apr-2025</t>
  </si>
  <si>
    <t>BKASH_Contest_Report || Apr-2025</t>
  </si>
  <si>
    <t>MTNSA_ONMO_Report || Apr-2025</t>
  </si>
  <si>
    <t>Atom_Onmo_Report || Apr-2025</t>
  </si>
  <si>
    <t>Atom_ONMO_Internal_Daily_Report || Apr-2025</t>
  </si>
  <si>
    <t>Lebara_KSA_CA_Report || Apr-2025</t>
  </si>
  <si>
    <t>VFQatar Challenge Arena Digital Report || Apr-2025</t>
  </si>
  <si>
    <t>Sunil Kumar Patra; cesar.lopez@onmobile.com; RBTProductTeam@onmobile.com; sachindranathan@onmobile.com; Unmesh Sansare; GMIS</t>
  </si>
  <si>
    <t>meghna.gupta@onmobile.com; HHLAING7@ooredoo.com.mm; AWin3@ooredoo.com.mm; NZin.EXTL@ooredoo.com.mm; aishwarya.chaturvedi@onmobile.com; gokul.dinesh@onmobile.com</t>
  </si>
  <si>
    <t>HHLAING7@ooredoo.com.mm; AWin3@ooredoo.com.mm; gokul.dinesh@onmobile.com; meghna.gupta@onmobile.com; aishwarya.chaturvedi@onmobile.com</t>
  </si>
  <si>
    <t>Karthik M; dhawal.rao@vodafoneidea.com; alwyn.almeida@vodafoneidea.com; Thirukumaran K; meghna.gupta@onmobile.com; Suresh Santhanavel</t>
  </si>
  <si>
    <t>ala.uddin@banglalink.net; ashwin.gomez@onmobile.com</t>
  </si>
  <si>
    <t>Sugandha Chadha; Magesh Mathialagan; Vikram Jeet Singh; Amrish Tandon; gokul.dinesh@onmobile.com; vivek.vadwa@onmobile.com; Riyasudeen A I; kowshik@onmobile.com; arpha.weeranon@onmobile.com; Jenikson T; subhojit.dutta@onmobile.com; sendhil.s.nath@onmobile.com; Rajesh Kumar Panithi; Venkatesan Palani; Sabareesha K C; ashwin.gomez@onmobile.com; Karthik M; Sukruth Srinivasan; Krittiya Praisontarangkul; Saurabh Kumar</t>
  </si>
  <si>
    <t>OMANTEL_CA_Daily_Report || Apr-2025</t>
  </si>
  <si>
    <t>Umesh Galappa; Suresh Santhanavel; aishwarya.chaturvedi@onmobile.com; meghna.gupta@onmobile.com; Thirukumaran K; ala.uddin@banglalink.net; Rohit Mohan Tiwari</t>
  </si>
  <si>
    <t>sachindranathan@onmobile.com; Yenugula Rameshbabu; GMIS</t>
  </si>
  <si>
    <t>Bhavna Saxena; m.kamal@banglalink.net; mayesha.hasan@banglalink.net; ala.uddin@banglalink.net; ashwin.gomez@onmobile.com</t>
  </si>
  <si>
    <t>Venkatesan Palani; kowshik@onmobile.com; Rohit Mohan Tiwari; Amrish Tandon; aishwarya.chaturvedi@onmobile.com; meghna.gupta@onmobile.com; Masudul Islam; Suresh Santhanavel; Bharath G; Biprodas Chayan; Umesh Galappa; gokul.dinesh@onmobile.com; ala.uddin@banglalink.net; rashed.moslem@banglalink.net; Arvind Krishnan; Thirukumaran K; Bhavna Saxena; Sukruth Srinivasan; m.kamal@banglalink.net; Saurabh Kumar; hasrat.humayun@banglalink.net</t>
  </si>
  <si>
    <t>Bhavna Saxena; m.kamal@banglalink.net; ala.uddin@banglalink.net; mayesha.hasan@banglalink.net; ashwin.gomez@onmobile.com; Muthahir Ahmed; Umesh Galappa; K B Ashwin Singh; Rohit Mohan Tiwari</t>
  </si>
  <si>
    <t>ATOM_GAMEWORLD_Daily Report || Apr-2025</t>
  </si>
  <si>
    <t>Amrish Tandon; Magesh Mathialagan; Vikram Jeet Singh; Rajesh Kumar Panithi; Romi Santhalia; Bhavna Saxena; Jenikson T; Rahul Khare; Karthik M; Sukruth Srinivasan; Krittiya Praisontarangkul; Rohit Mohan Tiwari; Saurabh Kumar</t>
  </si>
  <si>
    <t>Smartfren_CA_Daily_Report ||Apr-2025</t>
  </si>
  <si>
    <t>ajaykumar.pal@onmobile.com; vivek.vadwa@onmobile.com; Amrish Tandon; kowshik@onmobile.com; Magesh Mathialagan; sumit.seth@onmobile.com; tushar.mhatre@onmobile.com; akashdeep.balgotra@onmobile.com; Romi Santhalia; Vikram Jeet Singh; Jenikson T; Nova; Krittiya Praisontarangkul</t>
  </si>
  <si>
    <t>ala.uddin@banglalink.net; sharath.m@onmobile.com; Umesh Galappa; Rohit Mohan Tiwari; gokul.dinesh@onmobile.com; Suresh Santhanavel; meghna.gupta@onmobile.com; aishwarya.chaturvedi@onmobile.com</t>
  </si>
  <si>
    <t>ala.uddin@banglalink.net; rashed.moslem@banglalink.net; mohit@banglalink.net; Amrish Tandon; kowshik@onmobile.com; gokul.dinesh@onmobile.com; Masudul Islam; aishwarya.chaturvedi@onmobile.com; meghna.gupta@onmobile.com; Arpit Bora; Suresh Santhanavel; Umesh Galappa; Rohit Mohan Tiwari; Jenikson T</t>
  </si>
  <si>
    <t>gokul.dinesh@onmobile.com; ala.uddin@banglalink.net; Umesh Galappa; Suresh Santhanavel; aishwarya.chaturvedi@onmobile.com; meghna.gupta@onmobile.com; Thirukumaran K; Rohit Mohan Tiwari</t>
  </si>
  <si>
    <t>Venkatesan Palani; Magesh Mathialagan; kowshik@onmobile.com; Sukruth Srinivasan; praveen@onmobile.com; Monish Dhabre; Rajesh Kumar Panithi; meghna.gupta@onmobile.com; Subrat Mohanty; Bharath G; Sabareesha K C; Saif Ali Khan; Romi Santhalia; Jacob Mathew; ashwin.gomez@onmobile.com; Bhavna Saxena; Randeep Singh; Arvind Krishnan</t>
  </si>
  <si>
    <t>ROBIBD_ONMO_Report || Apr-2025</t>
  </si>
  <si>
    <t>Thirukumaran K; Umesh Galappa; Suresh Santhanavel; meghna.gupta@onmobile.com; m.kamal@banglalink.net</t>
  </si>
  <si>
    <t>shilpa.padmanabhan@onmobile.com</t>
  </si>
  <si>
    <t>STC_BAHRAIN ::Consolidated_Revenue_Tracker ||Apr-25</t>
  </si>
  <si>
    <t>pShalabi@viva.com.bh; esalman.c@viva.com.bh; vascommercial@viva.com.bh; aselim@viva.com.bh; Praneet Ranjan; Saju.Sudhakaran@onmobile.com; ameer.c@stc.com.bh; Tariq Ziad A Abdelrahman; Monish Dhabre; Abhilash Panicker</t>
  </si>
  <si>
    <t>gokul.dinesh@onmobile.com; Rohit Mohan Tiwari; Amrish Tandon; kowshik@onmobile.com; Vikram Jeet Singh; Magesh Mathialagan; Masudul Islam; Abhilash Panicker; Jenikson T; meghna.gupta@onmobile.com; aishwarya.chaturvedi@onmobile.com; Arvind Krishnan; Thirukumaran K; Bhavna Saxena; Sukruth Srinivasan; Saurabh Kumar</t>
  </si>
  <si>
    <t>LEBARASA_RBT_REPORT</t>
  </si>
  <si>
    <t>Praneet Ranjan; NOC@ej.sa; OperationsTechnology@ej.sa; Gattu Sridhar; Monish Dhabre; Abhilash Panicker</t>
  </si>
  <si>
    <t>GMIS; Arnold Prem D'Souza</t>
  </si>
  <si>
    <t>DU MIS :: DU_Consolidate_Report</t>
  </si>
  <si>
    <t>Faize Mon; Arnold Prem D'Souza; Saju.Sudhakaran@onmobile.com; Abhilash Panicker; Monish Dhabre</t>
  </si>
  <si>
    <t>Roopashree S L; GMIS; Praneet Ranjan</t>
  </si>
  <si>
    <t>BANGLALINK_SMS_KPI_Report_Apr'25</t>
  </si>
  <si>
    <t>IBMP-APAC; sadath.ali@onmobile.com</t>
  </si>
  <si>
    <t>MTN AFG || RBT Active Base Report</t>
  </si>
  <si>
    <t>GRAMEEN_RBT_Report || Apr-2025</t>
  </si>
  <si>
    <t>VFQATAR_Contest_Report || Apr-2025</t>
  </si>
  <si>
    <t>shivaraj.kumar@onmobile.com</t>
  </si>
  <si>
    <t>SFCOM_Kids_Report || Apr-2025</t>
  </si>
  <si>
    <t>Ekimita@safaricom.co.ke; Rimson John Lobo; Allan Kiplangat Rotich; sochiel@safaricom.co.ke</t>
  </si>
  <si>
    <t>VFGR_Games_Daily_Subscription || Apr-25</t>
  </si>
  <si>
    <t>ankur.g@onmobile.com; akilan.i@onmobile.com; vito.savino@onmobile.com; borja.gutierrezgomez@onmobile.com; tapash.ghosh@onmobile.com; vinod.anumula@onmobile.com; Sunil Kumar Patra; Patricia Perez; José Luis Prada Vales; neeraj.hirani@onmobile.com; Sukruth Srinivasan; International CVAS GSOC; Global CVAS Support; DaiusIndia_Support; saju.sudhakaran@onmobile.com; vikas.goel@onmobile.com; sarath.thampan@onmobile.com; Juandavid.alvarez@onmobile.com</t>
  </si>
  <si>
    <t>sanjay.sah@onmobile.com; sachindranathan@onmobile.com; GMIS</t>
  </si>
  <si>
    <t>GMIS; sachindranathan@onmobile.com; Rimson John Lobo; Allan Kiplangat Rotich</t>
  </si>
  <si>
    <t>VFQATAR-Activate Base RBT &amp; Azaan daily report</t>
  </si>
  <si>
    <t>COBD-MiddleEast; Praneet Ranjan; Roshan Mehboopkhan</t>
  </si>
  <si>
    <t>VFQATAR_Song_Base_Report</t>
  </si>
  <si>
    <t>COBD-MiddleEast; Praneet Ranjan; Roshan Mehboopkhan; Arnold Prem D'Souza</t>
  </si>
  <si>
    <t>AIRTELNIGERIA_CA_Report || Apr-2025</t>
  </si>
  <si>
    <t>Guruman.Iwundu@ng.airtel.com; deji@ninajojer.com; judah.johnson@ninajojer.com</t>
  </si>
  <si>
    <t>Rimson John Lobo; Veda N; GMIS</t>
  </si>
  <si>
    <t>STC_MUSIC_PORTAL || Apr-25</t>
  </si>
  <si>
    <t>pShalabi@viva.com.bh; esalman.c@viva.com.bh; vascommercial@viva.com.bh; aselim@viva.com.bh; Praneet Ranjan; Arnold Prem D'Souza; Saju.Sudhakaran@onmobile.com; Tariq Ziad A Abdelrahman; ameer.c@stc.com.bh</t>
  </si>
  <si>
    <t>Pay_operator_wise_summary</t>
  </si>
  <si>
    <t>DevOps_L3_CVAS@onmobile.com</t>
  </si>
  <si>
    <t>VODACOMMZ_MWEB_Data</t>
  </si>
  <si>
    <t>richa.jain@onmobile.com; Magesh Mathialagan; akashdeep.balgotra@onmobile.com</t>
  </si>
  <si>
    <t>johnny@arx.net; Jean-Marc.edeline@onmobile.com; RBTSupport_VFGR; Saju.Sudhakaran@onmobile.com</t>
  </si>
  <si>
    <t>VFGhana_Games_Portal_Report</t>
  </si>
  <si>
    <t>Allan Kiplangat Rotich; Rahul Khare; akashdeep.balgotra@onmobile.com; Magesh Mathialagan; Rimson John Lobo; tushar.mhatre@onmobile.com; Emmanuel Chukwunwike Chinweze</t>
  </si>
  <si>
    <t>DU_IVR_Utilization || Apr-2025</t>
  </si>
  <si>
    <t>Faize Mon; retheesh.ravi@onmobile.com</t>
  </si>
  <si>
    <t>D:\ASIA\LTFS_Gamize_Report\Driver</t>
  </si>
  <si>
    <t>D:\ASIA\Startrek_Gamize_Report\Driver</t>
  </si>
  <si>
    <t>D:\Python\ROBI_CA\ROBIBD_ONMO_Daily_Report\Driver</t>
  </si>
  <si>
    <t>D:\Python\OCADE\Ocade_CA_Daily_Report\Driver</t>
  </si>
  <si>
    <t>D:\Python\OCADE\Ocade_ONMO_Daily_Report\Driver</t>
  </si>
  <si>
    <t>D:\Python\CA_Telenor\TELENOR_ONMO_Daily_Report\Driver</t>
  </si>
  <si>
    <t>D:\Python\ZONG\ZONG_CA_Daily_Report\Driver</t>
  </si>
  <si>
    <t>D:\Python\VNPT_ONMO\VNPT_ONMO_Daily_Report\Driver</t>
  </si>
  <si>
    <t>10.170.19.12</t>
  </si>
  <si>
    <t>10.231.1.71</t>
  </si>
  <si>
    <t>dnd</t>
  </si>
  <si>
    <t>user_name</t>
  </si>
  <si>
    <t>password</t>
  </si>
  <si>
    <t>dwh_report</t>
  </si>
  <si>
    <t>/app/DNDMultiCountry/DND_folders/CA_REPORT_NEW</t>
  </si>
  <si>
    <t>client_path</t>
  </si>
  <si>
    <t>Bnaglalink_Gamize</t>
  </si>
  <si>
    <t>D:\CA_Asia\Banglalink\Bangalink_Gamification_Report\Driver</t>
  </si>
  <si>
    <t>/app/DNDMultiCountry/DND_folders/Gamize</t>
  </si>
  <si>
    <t>D:\ASIA\Gamize_Report\Driver</t>
  </si>
  <si>
    <t>SFCOM_CA_Report || 14-Apr-25</t>
  </si>
  <si>
    <t>VF Greece||Content_Report || 14-Apr-25</t>
  </si>
  <si>
    <t>ETISALATUAE_CA_Prism_Report || 14-Apr-25</t>
  </si>
  <si>
    <t>VODACOMTANZANIA_CA_Report || Apr-2025</t>
  </si>
  <si>
    <t>alexander.kimasa@vcontractor.co.tz; Napendael.Msangi1@vodacom.co.tz; Lilian Kokuboneza Ishabakaki</t>
  </si>
  <si>
    <t>Shield_Performance_Report || 14-Apr-2025</t>
  </si>
  <si>
    <t>MTN Afghanistan || MTNAFG_RBT_Revenue_Report || 14-Apr-25</t>
  </si>
  <si>
    <t>Create NameTune request Data || MTN Afghanistan || 14-Apr-25</t>
  </si>
  <si>
    <t>SFCOMKEN ONMO Daily Report || 14-Apr-25</t>
  </si>
  <si>
    <t>VODACOMTANZANIA CA Report || Apr-2025</t>
  </si>
  <si>
    <t>Rahul Khare; bhagyaraj.pm@onmobile.com; Lilian Kokuboneza Ishabakaki; aishwarya.chaturvedi@onmobile.com; Rimson John Lobo; tushar.mhatre@onmobile.com; MEA_ProgramTeam; Somesh Kumar Bagree; Sugandha Chadha; Magesh Mathialagan; Riyasudeen A I; bryan.makundi1@onmobile.com; Riyasudeen A I</t>
  </si>
  <si>
    <t>Etisalat_UAE_ONMO_Report || 14-Apr-2025</t>
  </si>
  <si>
    <t>SFCOM CA Report || 14-Apr-25</t>
  </si>
  <si>
    <t>ViGames_PlayedData</t>
  </si>
  <si>
    <t>bhagyaraj.pm@onmobile.com; Karthik M; Monish Dhabre; Suresh Santhanavel</t>
  </si>
  <si>
    <t>DIALOG Challenge Arena Digital Report || 14-Apr-25</t>
  </si>
  <si>
    <t>TIGOTANZANIA CA Report || 14-Apr-25</t>
  </si>
  <si>
    <t>TLOG_BILLING_20250415</t>
  </si>
  <si>
    <t>DWH_report || 20250414</t>
  </si>
  <si>
    <t>we wont recive mail as file size is more in outlook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</si>
</sst>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409]h\.mm\ AM/PM;@"/>
    <numFmt numFmtId="165" formatCode="0.0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VodafoneRg"/>
      <family val="2"/>
    </font>
    <font>
      <sz val="11"/>
      <color indexed="8"/>
      <name val="Calibri"/>
      <family val="2"/>
      <charset val="1"/>
    </font>
    <font>
      <u/>
      <sz val="11"/>
      <color indexed="12"/>
      <name val="Calibri"/>
      <family val="2"/>
    </font>
    <font>
      <u/>
      <sz val="10"/>
      <color indexed="12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22" fillId="0" borderId="0"/>
    <xf numFmtId="0" fontId="23" fillId="0" borderId="0"/>
    <xf numFmtId="0" fontId="22" fillId="0" borderId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2" fillId="0" borderId="0"/>
    <xf numFmtId="0" fontId="20" fillId="0" borderId="0" applyNumberFormat="0" applyFill="0" applyBorder="0" applyAlignment="0" applyProtection="0"/>
  </cellStyleXfs>
  <cellXfs count="91">
    <xf numFmtId="0" fontId="0" fillId="0" borderId="0" xfId="0"/>
    <xf numFmtId="0" fontId="19" fillId="33" borderId="10" xfId="0" applyFont="1" applyFill="1" applyBorder="1" applyAlignment="1">
      <alignment horizontal="center" vertical="center"/>
    </xf>
    <xf numFmtId="15" fontId="19" fillId="0" borderId="10" xfId="0" applyNumberFormat="1" applyFont="1" applyBorder="1" applyAlignment="1" applyProtection="1">
      <alignment horizontal="center" vertical="center"/>
      <protection locked="0"/>
    </xf>
    <xf numFmtId="0" fontId="18" fillId="0" borderId="11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Protection="1">
      <protection locked="0"/>
    </xf>
    <xf numFmtId="0" fontId="18" fillId="34" borderId="10" xfId="0" applyFont="1" applyFill="1" applyBorder="1" applyAlignment="1">
      <alignment horizontal="left" vertical="center" wrapText="1"/>
    </xf>
    <xf numFmtId="0" fontId="0" fillId="0" borderId="0" xfId="0"/>
    <xf numFmtId="0" fontId="0" fillId="0" borderId="10" xfId="0" applyBorder="1"/>
    <xf numFmtId="0" fontId="16" fillId="37" borderId="10" xfId="0" applyFont="1" applyFill="1" applyBorder="1"/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20" fontId="18" fillId="0" borderId="10" xfId="0" applyNumberFormat="1" applyFont="1" applyFill="1" applyBorder="1" applyAlignment="1">
      <alignment horizontal="left" vertical="center"/>
    </xf>
    <xf numFmtId="164" fontId="18" fillId="0" borderId="10" xfId="0" applyNumberFormat="1" applyFont="1" applyFill="1" applyBorder="1" applyAlignment="1">
      <alignment horizontal="left" vertical="center"/>
    </xf>
    <xf numFmtId="0" fontId="18" fillId="36" borderId="10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horizontal="left" vertical="center"/>
    </xf>
    <xf numFmtId="0" fontId="21" fillId="0" borderId="10" xfId="0" applyFont="1" applyFill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165" fontId="18" fillId="0" borderId="10" xfId="0" applyNumberFormat="1" applyFont="1" applyFill="1" applyBorder="1" applyAlignment="1">
      <alignment horizontal="left" vertical="center"/>
    </xf>
    <xf numFmtId="0" fontId="21" fillId="35" borderId="10" xfId="0" applyFont="1" applyFill="1" applyBorder="1" applyAlignment="1">
      <alignment horizontal="left" vertical="center"/>
    </xf>
    <xf numFmtId="0" fontId="21" fillId="35" borderId="10" xfId="0" applyFont="1" applyFill="1" applyBorder="1" applyAlignment="1">
      <alignment horizontal="left" vertical="center" wrapText="1"/>
    </xf>
    <xf numFmtId="20" fontId="18" fillId="0" borderId="0" xfId="0" applyNumberFormat="1" applyFont="1" applyFill="1" applyBorder="1" applyAlignment="1">
      <alignment horizontal="left" vertical="center"/>
    </xf>
    <xf numFmtId="0" fontId="0" fillId="0" borderId="10" xfId="0" applyNumberFormat="1" applyFill="1" applyBorder="1"/>
    <xf numFmtId="0" fontId="27" fillId="0" borderId="0" xfId="0" applyFont="1" applyFill="1" applyAlignment="1">
      <alignment horizontal="left" vertical="center"/>
    </xf>
    <xf numFmtId="0" fontId="18" fillId="38" borderId="10" xfId="0" applyFont="1" applyFill="1" applyBorder="1" applyAlignment="1">
      <alignment horizontal="left" vertical="center"/>
    </xf>
    <xf numFmtId="0" fontId="18" fillId="0" borderId="10" xfId="0" applyFont="1" applyBorder="1" applyProtection="1">
      <protection locked="0"/>
    </xf>
    <xf numFmtId="0" fontId="18" fillId="0" borderId="0" xfId="0" applyFont="1" applyFill="1" applyBorder="1" applyAlignment="1">
      <alignment horizontal="left" vertical="center"/>
    </xf>
    <xf numFmtId="165" fontId="18" fillId="0" borderId="0" xfId="0" applyNumberFormat="1" applyFont="1" applyFill="1" applyBorder="1" applyAlignment="1">
      <alignment horizontal="left" vertical="center"/>
    </xf>
    <xf numFmtId="0" fontId="18" fillId="0" borderId="10" xfId="0" applyNumberFormat="1" applyFont="1" applyFill="1" applyBorder="1" applyAlignment="1">
      <alignment horizontal="left" vertical="center"/>
    </xf>
    <xf numFmtId="0" fontId="16" fillId="35" borderId="10" xfId="0" applyFont="1" applyFill="1" applyBorder="1" applyAlignment="1">
      <alignment horizontal="left" vertical="center"/>
    </xf>
    <xf numFmtId="164" fontId="18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 applyAlignment="1">
      <alignment horizontal="left" vertical="center"/>
    </xf>
    <xf numFmtId="0" fontId="18" fillId="39" borderId="10" xfId="0" applyFont="1" applyFill="1" applyBorder="1" applyAlignment="1">
      <alignment horizontal="left" vertical="center"/>
    </xf>
    <xf numFmtId="20" fontId="18" fillId="39" borderId="10" xfId="0" applyNumberFormat="1" applyFont="1" applyFill="1" applyBorder="1" applyAlignment="1">
      <alignment horizontal="left" vertical="center"/>
    </xf>
    <xf numFmtId="164" fontId="18" fillId="39" borderId="10" xfId="0" applyNumberFormat="1" applyFont="1" applyFill="1" applyBorder="1" applyAlignment="1">
      <alignment horizontal="left" vertical="center"/>
    </xf>
    <xf numFmtId="0" fontId="18" fillId="39" borderId="10" xfId="0" applyNumberFormat="1" applyFont="1" applyFill="1" applyBorder="1" applyAlignment="1">
      <alignment horizontal="left" vertical="center"/>
    </xf>
    <xf numFmtId="165" fontId="18" fillId="39" borderId="10" xfId="0" applyNumberFormat="1" applyFont="1" applyFill="1" applyBorder="1" applyAlignment="1">
      <alignment horizontal="left" vertical="center"/>
    </xf>
    <xf numFmtId="0" fontId="27" fillId="36" borderId="10" xfId="0" applyFont="1" applyFill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0" fontId="27" fillId="0" borderId="10" xfId="0" applyFont="1" applyFill="1" applyBorder="1" applyAlignment="1">
      <alignment horizontal="left" vertical="center"/>
    </xf>
    <xf numFmtId="20" fontId="27" fillId="0" borderId="10" xfId="0" applyNumberFormat="1" applyFont="1" applyFill="1" applyBorder="1" applyAlignment="1">
      <alignment horizontal="left" vertical="center"/>
    </xf>
    <xf numFmtId="164" fontId="27" fillId="0" borderId="10" xfId="0" applyNumberFormat="1" applyFont="1" applyFill="1" applyBorder="1" applyAlignment="1">
      <alignment horizontal="left" vertical="center"/>
    </xf>
    <xf numFmtId="0" fontId="27" fillId="0" borderId="10" xfId="0" applyNumberFormat="1" applyFont="1" applyFill="1" applyBorder="1" applyAlignment="1">
      <alignment horizontal="left" vertical="center"/>
    </xf>
    <xf numFmtId="165" fontId="27" fillId="0" borderId="10" xfId="0" applyNumberFormat="1" applyFont="1" applyFill="1" applyBorder="1" applyAlignment="1">
      <alignment horizontal="left" vertical="center"/>
    </xf>
    <xf numFmtId="0" fontId="18" fillId="34" borderId="10" xfId="0" applyFont="1" applyFill="1" applyBorder="1" applyAlignment="1">
      <alignment horizontal="left" vertical="center"/>
    </xf>
    <xf numFmtId="0" fontId="18" fillId="0" borderId="10" xfId="0" applyNumberFormat="1" applyFont="1" applyBorder="1" applyAlignment="1">
      <alignment horizontal="left" vertical="center"/>
    </xf>
    <xf numFmtId="0" fontId="27" fillId="0" borderId="10" xfId="0" applyNumberFormat="1" applyFont="1" applyBorder="1" applyAlignment="1">
      <alignment horizontal="left" vertical="center"/>
    </xf>
    <xf numFmtId="0" fontId="18" fillId="41" borderId="10" xfId="0" applyFont="1" applyFill="1" applyBorder="1" applyAlignment="1">
      <alignment horizontal="left" vertical="center"/>
    </xf>
    <xf numFmtId="0" fontId="20" fillId="0" borderId="0" xfId="51" applyAlignment="1">
      <alignment horizontal="left" vertical="center"/>
    </xf>
    <xf numFmtId="0" fontId="18" fillId="34" borderId="10" xfId="0" applyFont="1" applyFill="1" applyBorder="1" applyProtection="1">
      <protection locked="0"/>
    </xf>
    <xf numFmtId="0" fontId="18" fillId="41" borderId="10" xfId="0" applyFont="1" applyFill="1" applyBorder="1" applyProtection="1">
      <protection locked="0"/>
    </xf>
    <xf numFmtId="0" fontId="27" fillId="0" borderId="0" xfId="0" applyFont="1" applyAlignment="1">
      <alignment horizontal="left" vertical="center"/>
    </xf>
    <xf numFmtId="0" fontId="28" fillId="0" borderId="10" xfId="0" applyFont="1" applyFill="1" applyBorder="1" applyAlignment="1">
      <alignment horizontal="left" vertical="center"/>
    </xf>
    <xf numFmtId="0" fontId="27" fillId="0" borderId="10" xfId="0" applyFont="1" applyBorder="1" applyProtection="1">
      <protection locked="0"/>
    </xf>
    <xf numFmtId="0" fontId="29" fillId="0" borderId="0" xfId="0" applyFont="1" applyFill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0" xfId="0" applyFont="1" applyFill="1" applyBorder="1" applyAlignment="1">
      <alignment horizontal="left" vertical="center"/>
    </xf>
    <xf numFmtId="164" fontId="29" fillId="0" borderId="10" xfId="0" applyNumberFormat="1" applyFont="1" applyFill="1" applyBorder="1" applyAlignment="1">
      <alignment horizontal="left" vertical="center"/>
    </xf>
    <xf numFmtId="0" fontId="29" fillId="0" borderId="10" xfId="0" applyNumberFormat="1" applyFont="1" applyFill="1" applyBorder="1" applyAlignment="1">
      <alignment horizontal="left" vertical="center"/>
    </xf>
    <xf numFmtId="165" fontId="29" fillId="0" borderId="10" xfId="0" applyNumberFormat="1" applyFont="1" applyFill="1" applyBorder="1" applyAlignment="1">
      <alignment horizontal="left" vertical="center"/>
    </xf>
    <xf numFmtId="0" fontId="27" fillId="41" borderId="10" xfId="0" applyFont="1" applyFill="1" applyBorder="1" applyAlignment="1">
      <alignment horizontal="left" vertical="center"/>
    </xf>
    <xf numFmtId="0" fontId="18" fillId="34" borderId="0" xfId="0" applyFont="1" applyFill="1" applyAlignment="1">
      <alignment horizontal="left" vertical="center"/>
    </xf>
    <xf numFmtId="20" fontId="0" fillId="0" borderId="0" xfId="0" applyNumberFormat="1"/>
    <xf numFmtId="22" fontId="0" fillId="0" borderId="0" xfId="0" applyNumberFormat="1"/>
    <xf numFmtId="0" fontId="0" fillId="0" borderId="0" xfId="0" quotePrefix="1"/>
    <xf numFmtId="0" fontId="27" fillId="37" borderId="10" xfId="0" applyFont="1" applyFill="1" applyBorder="1" applyAlignment="1">
      <alignment horizontal="left" vertical="center"/>
    </xf>
    <xf numFmtId="0" fontId="27" fillId="34" borderId="0" xfId="0" applyFont="1" applyFill="1" applyAlignment="1">
      <alignment horizontal="left" vertical="center"/>
    </xf>
    <xf numFmtId="0" fontId="14" fillId="41" borderId="10" xfId="0" applyNumberFormat="1" applyFont="1" applyFill="1" applyBorder="1"/>
    <xf numFmtId="0" fontId="14" fillId="0" borderId="10" xfId="0" applyFont="1" applyFill="1" applyBorder="1"/>
    <xf numFmtId="164" fontId="27" fillId="0" borderId="10" xfId="0" applyNumberFormat="1" applyFont="1" applyBorder="1" applyAlignment="1">
      <alignment horizontal="left" vertical="center"/>
    </xf>
    <xf numFmtId="0" fontId="14" fillId="0" borderId="10" xfId="0" applyFont="1" applyBorder="1"/>
    <xf numFmtId="14" fontId="27" fillId="0" borderId="0" xfId="0" applyNumberFormat="1" applyFont="1" applyFill="1" applyAlignment="1">
      <alignment horizontal="left" vertical="center"/>
    </xf>
    <xf numFmtId="165" fontId="27" fillId="0" borderId="10" xfId="0" applyNumberFormat="1" applyFont="1" applyBorder="1" applyAlignment="1">
      <alignment horizontal="left" vertical="center"/>
    </xf>
    <xf numFmtId="0" fontId="27" fillId="34" borderId="10" xfId="0" applyFont="1" applyFill="1" applyBorder="1" applyAlignment="1">
      <alignment horizontal="left" vertical="center"/>
    </xf>
    <xf numFmtId="0" fontId="27" fillId="40" borderId="10" xfId="0" applyFont="1" applyFill="1" applyBorder="1" applyAlignment="1">
      <alignment horizontal="left" vertical="center"/>
    </xf>
    <xf numFmtId="0" fontId="18" fillId="42" borderId="0" xfId="0" applyFont="1" applyFill="1" applyAlignment="1">
      <alignment horizontal="left" vertical="center"/>
    </xf>
    <xf numFmtId="0" fontId="21" fillId="42" borderId="10" xfId="0" applyFont="1" applyFill="1" applyBorder="1" applyAlignment="1">
      <alignment horizontal="left" vertical="center"/>
    </xf>
    <xf numFmtId="0" fontId="18" fillId="42" borderId="10" xfId="0" applyFont="1" applyFill="1" applyBorder="1" applyAlignment="1">
      <alignment horizontal="left" vertical="center"/>
    </xf>
    <xf numFmtId="0" fontId="18" fillId="42" borderId="10" xfId="0" applyFont="1" applyFill="1" applyBorder="1" applyProtection="1">
      <protection locked="0"/>
    </xf>
    <xf numFmtId="20" fontId="18" fillId="42" borderId="10" xfId="0" applyNumberFormat="1" applyFont="1" applyFill="1" applyBorder="1" applyAlignment="1">
      <alignment horizontal="left" vertical="center"/>
    </xf>
    <xf numFmtId="164" fontId="18" fillId="42" borderId="10" xfId="0" applyNumberFormat="1" applyFont="1" applyFill="1" applyBorder="1" applyAlignment="1">
      <alignment horizontal="left" vertical="center"/>
    </xf>
    <xf numFmtId="0" fontId="18" fillId="42" borderId="10" xfId="0" applyNumberFormat="1" applyFont="1" applyFill="1" applyBorder="1" applyAlignment="1">
      <alignment horizontal="left" vertical="center"/>
    </xf>
    <xf numFmtId="165" fontId="18" fillId="42" borderId="10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/>
    </xf>
    <xf numFmtId="0" fontId="18" fillId="42" borderId="0" xfId="0" applyFont="1" applyFill="1" applyBorder="1" applyAlignment="1">
      <alignment horizontal="left" vertical="center"/>
    </xf>
    <xf numFmtId="0" fontId="18" fillId="39" borderId="0" xfId="0" applyFont="1" applyFill="1" applyBorder="1" applyAlignment="1">
      <alignment horizontal="left" vertical="center"/>
    </xf>
    <xf numFmtId="0" fontId="27" fillId="0" borderId="0" xfId="0" applyFont="1" applyBorder="1" applyAlignment="1">
      <alignment horizontal="left" vertical="center"/>
    </xf>
    <xf numFmtId="0" fontId="18" fillId="34" borderId="0" xfId="0" applyFont="1" applyFill="1" applyBorder="1" applyAlignment="1">
      <alignment horizontal="left" vertical="center"/>
    </xf>
  </cellXfs>
  <cellStyles count="52">
    <cellStyle name="_CONTROL" xfId="50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 Built-in Normal" xfId="46" xr:uid="{00000000-0005-0000-0000-00001C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1" builtinId="8"/>
    <cellStyle name="Hyperlink 2" xfId="47" xr:uid="{00000000-0005-0000-0000-000023000000}"/>
    <cellStyle name="Hyperlink 2 2" xfId="49" xr:uid="{00000000-0005-0000-0000-000024000000}"/>
    <cellStyle name="Hyperlink 3" xfId="48" xr:uid="{00000000-0005-0000-0000-000025000000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A000000}"/>
    <cellStyle name="Normal 2 10" xfId="45" xr:uid="{00000000-0005-0000-0000-00002B000000}"/>
    <cellStyle name="Normal 3" xfId="43" xr:uid="{00000000-0005-0000-0000-00002C000000}"/>
    <cellStyle name="Normal 8" xfId="44" xr:uid="{00000000-0005-0000-0000-00002D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BB9FF"/>
      <color rgb="FFC432FF"/>
      <color rgb="FFFFB3B3"/>
      <color rgb="FF222140"/>
      <color rgb="FF900FDC"/>
      <color rgb="FFDC900F"/>
      <color rgb="FFDC0F90"/>
      <color rgb="FF320FDC"/>
      <color rgb="FFDC320F"/>
      <color rgb="FF0FDC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38100</xdr:rowOff>
        </xdr:from>
        <xdr:to>
          <xdr:col>5</xdr:col>
          <xdr:colOff>1266825</xdr:colOff>
          <xdr:row>7</xdr:row>
          <xdr:rowOff>342900</xdr:rowOff>
        </xdr:to>
        <xdr:sp macro="" textlink="">
          <xdr:nvSpPr>
            <xdr:cNvPr id="3073" name="cmd_brows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836211</xdr:colOff>
      <xdr:row>7</xdr:row>
      <xdr:rowOff>47625</xdr:rowOff>
    </xdr:from>
    <xdr:to>
      <xdr:col>1</xdr:col>
      <xdr:colOff>1398919</xdr:colOff>
      <xdr:row>7</xdr:row>
      <xdr:rowOff>371625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6211" y="1619250"/>
          <a:ext cx="1855387" cy="324000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Source Folder Path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0</xdr:row>
          <xdr:rowOff>47625</xdr:rowOff>
        </xdr:from>
        <xdr:to>
          <xdr:col>4</xdr:col>
          <xdr:colOff>3381375</xdr:colOff>
          <xdr:row>1</xdr:row>
          <xdr:rowOff>171450</xdr:rowOff>
        </xdr:to>
        <xdr:sp macro="" textlink="">
          <xdr:nvSpPr>
            <xdr:cNvPr id="3075" name="cmd_ru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836211</xdr:colOff>
      <xdr:row>10</xdr:row>
      <xdr:rowOff>47625</xdr:rowOff>
    </xdr:from>
    <xdr:to>
      <xdr:col>1</xdr:col>
      <xdr:colOff>1398919</xdr:colOff>
      <xdr:row>10</xdr:row>
      <xdr:rowOff>371625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36211" y="1619250"/>
          <a:ext cx="1855387" cy="324000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Destination Folder Path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57150</xdr:rowOff>
        </xdr:from>
        <xdr:to>
          <xdr:col>5</xdr:col>
          <xdr:colOff>1266825</xdr:colOff>
          <xdr:row>10</xdr:row>
          <xdr:rowOff>361950</xdr:rowOff>
        </xdr:to>
        <xdr:sp macro="" textlink="">
          <xdr:nvSpPr>
            <xdr:cNvPr id="3077" name="cmd_Browse_Des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0</xdr:row>
          <xdr:rowOff>38100</xdr:rowOff>
        </xdr:from>
        <xdr:to>
          <xdr:col>11</xdr:col>
          <xdr:colOff>152400</xdr:colOff>
          <xdr:row>0</xdr:row>
          <xdr:rowOff>409575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IA_REPOR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SIA_REPORTS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emote_Sites"/>
      <sheetName val="All_Mails"/>
      <sheetName val="Mail_Check"/>
    </sheetNames>
    <sheetDataSet>
      <sheetData sheetId="0"/>
      <sheetData sheetId="1"/>
      <sheetData sheetId="2">
        <row r="1">
          <cell r="B1" t="str">
            <v>Delivered?</v>
          </cell>
          <cell r="C1" t="str">
            <v>Time</v>
          </cell>
          <cell r="D1" t="str">
            <v>Subject</v>
          </cell>
        </row>
        <row r="2">
          <cell r="B2" t="str">
            <v>Yes</v>
          </cell>
          <cell r="C2">
            <v>0.65069444444444446</v>
          </cell>
          <cell r="D2" t="str">
            <v>Telefonica CVAS Movistar NEXTORY Daily Report || 04-Oct-23</v>
          </cell>
        </row>
        <row r="3">
          <cell r="B3" t="str">
            <v>Yes</v>
          </cell>
          <cell r="C3">
            <v>0.65069444444444446</v>
          </cell>
          <cell r="D3" t="str">
            <v>GLOBACOM_MIS-GLOBACOM_RBT_Report || 04-Oct-23</v>
          </cell>
        </row>
        <row r="4">
          <cell r="B4" t="str">
            <v>Yes</v>
          </cell>
          <cell r="C4">
            <v>0.65</v>
          </cell>
          <cell r="D4" t="str">
            <v>VFEgypt_Special_Tones_Report || Oct-23</v>
          </cell>
        </row>
        <row r="5">
          <cell r="B5" t="str">
            <v>Yes</v>
          </cell>
          <cell r="C5">
            <v>0.64930555555555558</v>
          </cell>
          <cell r="D5" t="str">
            <v>LATAM-OPCO_wise_Daily_Revenue_Report</v>
          </cell>
        </row>
        <row r="6">
          <cell r="B6" t="str">
            <v>Yes</v>
          </cell>
          <cell r="C6">
            <v>0.6479166666666667</v>
          </cell>
          <cell r="D6" t="str">
            <v>VFEgypt ISMS Campaign Report || 04-Oct-23</v>
          </cell>
        </row>
        <row r="7">
          <cell r="B7" t="str">
            <v>Yes</v>
          </cell>
          <cell r="C7">
            <v>0.64166666666666672</v>
          </cell>
          <cell r="D7" t="str">
            <v>VodacomMZ_RBT_Report || Oct-23</v>
          </cell>
        </row>
        <row r="8">
          <cell r="B8" t="str">
            <v>Yes</v>
          </cell>
          <cell r="C8">
            <v>0.64166666666666672</v>
          </cell>
          <cell r="D8" t="str">
            <v>VODACOMMZ_Msearch_Create_Report || Oct-23</v>
          </cell>
        </row>
        <row r="9">
          <cell r="B9" t="str">
            <v>Yes</v>
          </cell>
          <cell r="C9">
            <v>0.63611111111111118</v>
          </cell>
          <cell r="D9" t="str">
            <v>GRIFF_API_Response_Report</v>
          </cell>
        </row>
        <row r="10">
          <cell r="B10" t="str">
            <v>Yes</v>
          </cell>
          <cell r="C10">
            <v>0.63541666666666663</v>
          </cell>
          <cell r="D10" t="str">
            <v>RE: Dialog Reports - Sep'23 - DLG-5589+</v>
          </cell>
        </row>
        <row r="11">
          <cell r="B11" t="str">
            <v>Yes</v>
          </cell>
          <cell r="C11">
            <v>0.63472222222222219</v>
          </cell>
          <cell r="D11" t="str">
            <v>GP_RBT_RRBT_MIS-GP_RBT_RRBT_Report</v>
          </cell>
        </row>
        <row r="12">
          <cell r="B12" t="str">
            <v>Yes</v>
          </cell>
          <cell r="C12">
            <v>0.63472222222222219</v>
          </cell>
          <cell r="D12" t="str">
            <v>VFEGYPT-Islamic_Content_Tracker_Oct-23</v>
          </cell>
        </row>
        <row r="13">
          <cell r="B13" t="str">
            <v>Yes</v>
          </cell>
          <cell r="C13">
            <v>0.63472222222222219</v>
          </cell>
          <cell r="D13" t="str">
            <v>Egypt RBT Utilization || 04-Oct-23</v>
          </cell>
        </row>
        <row r="14">
          <cell r="B14" t="str">
            <v>Yes</v>
          </cell>
          <cell r="C14">
            <v>0.63402777777777775</v>
          </cell>
          <cell r="D14" t="str">
            <v>ASIA_OBD_KPI_Report_Oct'23</v>
          </cell>
        </row>
        <row r="15">
          <cell r="B15" t="str">
            <v>Yes</v>
          </cell>
          <cell r="C15">
            <v>0.6333333333333333</v>
          </cell>
          <cell r="D15" t="str">
            <v>VFEGYPT-Ramadan_Report_Oct-23</v>
          </cell>
        </row>
        <row r="16">
          <cell r="B16" t="str">
            <v>Yes</v>
          </cell>
          <cell r="C16">
            <v>0.6333333333333333</v>
          </cell>
          <cell r="D16" t="str">
            <v>VFEgypt_Content_Top10_Report</v>
          </cell>
        </row>
        <row r="17">
          <cell r="B17" t="str">
            <v>Yes</v>
          </cell>
          <cell r="C17">
            <v>0.6333333333333333</v>
          </cell>
          <cell r="D17" t="str">
            <v>VFEgypt_RBT_MIS_Report</v>
          </cell>
        </row>
        <row r="18">
          <cell r="B18" t="str">
            <v>Yes</v>
          </cell>
          <cell r="C18">
            <v>0.62916666666666665</v>
          </cell>
          <cell r="D18" t="str">
            <v>MIS Report || VODACOMMZ_SUCCESS_FAILURE_RBT_REPORT || Oct-23</v>
          </cell>
        </row>
        <row r="19">
          <cell r="B19" t="str">
            <v>Yes</v>
          </cell>
          <cell r="C19">
            <v>0.625</v>
          </cell>
          <cell r="D19" t="str">
            <v>Bl_xcopy_data</v>
          </cell>
        </row>
        <row r="20">
          <cell r="B20" t="str">
            <v>Yes</v>
          </cell>
          <cell r="C20">
            <v>0.61805555555555558</v>
          </cell>
          <cell r="D20" t="str">
            <v>Momagic_revenue_report</v>
          </cell>
        </row>
        <row r="21">
          <cell r="B21" t="str">
            <v>Yes</v>
          </cell>
          <cell r="C21">
            <v>0.61736111111111114</v>
          </cell>
          <cell r="D21" t="str">
            <v>Unitel_RBT_Report</v>
          </cell>
        </row>
        <row r="22">
          <cell r="B22" t="str">
            <v>Yes</v>
          </cell>
          <cell r="C22">
            <v>0.6166666666666667</v>
          </cell>
          <cell r="D22" t="str">
            <v>Banglalink_Gamize_Report || Oct-2023</v>
          </cell>
        </row>
        <row r="23">
          <cell r="B23" t="str">
            <v>Yes</v>
          </cell>
          <cell r="C23">
            <v>0.61319444444444449</v>
          </cell>
          <cell r="D23" t="str">
            <v>CVAS_Churn_Report_Mobiground</v>
          </cell>
        </row>
        <row r="24">
          <cell r="B24" t="str">
            <v>Yes</v>
          </cell>
          <cell r="C24">
            <v>0.61249999999999993</v>
          </cell>
          <cell r="D24" t="str">
            <v>CVAS Churn_43617_36211 Report</v>
          </cell>
        </row>
        <row r="25">
          <cell r="B25" t="str">
            <v>Yes</v>
          </cell>
          <cell r="C25">
            <v>0.6118055555555556</v>
          </cell>
          <cell r="D25" t="str">
            <v>Telefonica_CVAS_Cancel_Renewal_Request || 04-Oct-23</v>
          </cell>
        </row>
        <row r="26">
          <cell r="B26" t="str">
            <v>Yes</v>
          </cell>
          <cell r="C26">
            <v>0.61111111111111105</v>
          </cell>
          <cell r="D26" t="str">
            <v>Vodacomsa_CA_Report || Oct-2023</v>
          </cell>
        </row>
        <row r="27">
          <cell r="B27" t="str">
            <v>Yes</v>
          </cell>
          <cell r="C27">
            <v>0.60763888888888895</v>
          </cell>
          <cell r="D27" t="str">
            <v>MIS Report || VODACOMLS_SUCCESS_FAILURE_RBT_REPORT || Oct-23</v>
          </cell>
        </row>
        <row r="28">
          <cell r="B28" t="str">
            <v>Yes</v>
          </cell>
          <cell r="C28">
            <v>0.60763888888888895</v>
          </cell>
          <cell r="D28" t="str">
            <v>Telefonica_CVAS_MIS-Churn_Report_MIS</v>
          </cell>
        </row>
        <row r="29">
          <cell r="B29" t="str">
            <v>Yes</v>
          </cell>
          <cell r="C29">
            <v>0.60486111111111118</v>
          </cell>
          <cell r="D29" t="str">
            <v>Omantel :: RBT_Report ||Oct-23</v>
          </cell>
        </row>
        <row r="30">
          <cell r="B30" t="str">
            <v>Yes</v>
          </cell>
          <cell r="C30">
            <v>0.60416666666666663</v>
          </cell>
          <cell r="D30" t="str">
            <v>Vodacomsa_AIC_Report</v>
          </cell>
        </row>
        <row r="31">
          <cell r="B31" t="str">
            <v>Yes</v>
          </cell>
          <cell r="C31">
            <v>0.60416666666666663</v>
          </cell>
          <cell r="D31" t="str">
            <v>Rejected Activations Daily Report || 04-Oct-23</v>
          </cell>
        </row>
        <row r="32">
          <cell r="B32" t="str">
            <v>Yes</v>
          </cell>
          <cell r="C32">
            <v>0.59930555555555554</v>
          </cell>
          <cell r="D32" t="str">
            <v>Telefonica_MIS-TEF_CVAS_Daily_NBS_Report</v>
          </cell>
        </row>
        <row r="33">
          <cell r="B33" t="str">
            <v>Yes</v>
          </cell>
          <cell r="C33">
            <v>0.59722222222222221</v>
          </cell>
          <cell r="D33" t="str">
            <v>AFRICA_ONE97_CP_Report</v>
          </cell>
        </row>
        <row r="34">
          <cell r="B34" t="str">
            <v>Yes</v>
          </cell>
          <cell r="C34">
            <v>0.59652777777777777</v>
          </cell>
          <cell r="D34" t="str">
            <v>Globacom_Games_Portal_Report || 04-Oct-23</v>
          </cell>
        </row>
        <row r="35">
          <cell r="B35" t="str">
            <v>Yes</v>
          </cell>
          <cell r="C35">
            <v>0.59513888888888888</v>
          </cell>
          <cell r="D35" t="str">
            <v>Telefonica_CVAS_Ugames_Report</v>
          </cell>
        </row>
        <row r="36">
          <cell r="B36" t="str">
            <v>Yes</v>
          </cell>
          <cell r="C36">
            <v>0.59513888888888888</v>
          </cell>
          <cell r="D36" t="str">
            <v>Nagadbd_CA_Daily_Report</v>
          </cell>
        </row>
        <row r="37">
          <cell r="B37" t="str">
            <v>Yes</v>
          </cell>
          <cell r="C37">
            <v>0.59375</v>
          </cell>
          <cell r="D37" t="str">
            <v>VodacomLS::RBT Daily Report</v>
          </cell>
        </row>
        <row r="38">
          <cell r="B38" t="str">
            <v>Yes</v>
          </cell>
          <cell r="C38">
            <v>0.59097222222222223</v>
          </cell>
          <cell r="D38" t="str">
            <v>VodacomLS_FootBall_Report || Oct-23</v>
          </cell>
        </row>
        <row r="39">
          <cell r="B39" t="str">
            <v>Yes</v>
          </cell>
          <cell r="C39">
            <v>0.59027777777777779</v>
          </cell>
          <cell r="D39" t="str">
            <v>Vi_Games_Clevertap_Daily_Report</v>
          </cell>
        </row>
        <row r="40">
          <cell r="B40" t="str">
            <v>Yes</v>
          </cell>
          <cell r="C40">
            <v>0.58958333333333335</v>
          </cell>
          <cell r="D40" t="str">
            <v>Microsoft Outlook Test Message</v>
          </cell>
        </row>
        <row r="41">
          <cell r="B41" t="str">
            <v>Yes</v>
          </cell>
          <cell r="C41">
            <v>0.58680555555555558</v>
          </cell>
          <cell r="D41" t="str">
            <v>MIS Report || VODACOMDRC_SUCCESS_FAILURE_RBT_REPORT || Oct-23</v>
          </cell>
        </row>
        <row r="42">
          <cell r="B42" t="str">
            <v>Yes</v>
          </cell>
          <cell r="C42">
            <v>0.58402777777777781</v>
          </cell>
          <cell r="D42" t="str">
            <v>AIRTELNIGERIA CA Report || Oct-23</v>
          </cell>
        </row>
        <row r="43">
          <cell r="B43" t="str">
            <v>Yes</v>
          </cell>
          <cell r="C43">
            <v>0.58333333333333337</v>
          </cell>
          <cell r="D43" t="str">
            <v>SFCOMKEN_Coin_Redemption_Daily_Report</v>
          </cell>
        </row>
        <row r="44">
          <cell r="B44" t="str">
            <v>Yes</v>
          </cell>
          <cell r="C44">
            <v>0.58263888888888882</v>
          </cell>
          <cell r="D44" t="str">
            <v>Sfcom CA KPI Report || 04-Oct-23</v>
          </cell>
        </row>
        <row r="45">
          <cell r="B45" t="str">
            <v>Yes</v>
          </cell>
          <cell r="C45">
            <v>0.58124999999999993</v>
          </cell>
          <cell r="D45" t="str">
            <v>SFCOMKEN ONMO Daily Report || Oct-23</v>
          </cell>
        </row>
        <row r="46">
          <cell r="B46" t="str">
            <v>Yes</v>
          </cell>
          <cell r="C46">
            <v>0.58124999999999993</v>
          </cell>
          <cell r="D46" t="str">
            <v>ASIACELL_Iraq_CA_Daily_Report || Oct-2023</v>
          </cell>
        </row>
        <row r="47">
          <cell r="B47" t="str">
            <v>Yes</v>
          </cell>
          <cell r="C47">
            <v>0.57986111111111105</v>
          </cell>
          <cell r="D47" t="str">
            <v>Grameen_MIS-GRAMEEN_MOBILE_RADIO</v>
          </cell>
        </row>
        <row r="48">
          <cell r="B48" t="str">
            <v>Yes</v>
          </cell>
          <cell r="C48">
            <v>0.57500000000000007</v>
          </cell>
          <cell r="D48" t="str">
            <v>RE: VODACOMTANZANIA CA Report.xlsb || Sep-2023</v>
          </cell>
        </row>
        <row r="49">
          <cell r="B49" t="str">
            <v>Yes</v>
          </cell>
          <cell r="C49">
            <v>0.56944444444444442</v>
          </cell>
          <cell r="D49" t="str">
            <v>VODACOMSA_CONTENT_BLOCK_USER_INVALID_REPORT</v>
          </cell>
        </row>
        <row r="50">
          <cell r="B50" t="str">
            <v>Yes</v>
          </cell>
          <cell r="C50">
            <v>0.56458333333333333</v>
          </cell>
          <cell r="D50" t="str">
            <v>VODACOMDRC_RBT_Report</v>
          </cell>
        </row>
        <row r="51">
          <cell r="B51" t="str">
            <v>Yes</v>
          </cell>
          <cell r="C51">
            <v>0.56458333333333333</v>
          </cell>
          <cell r="D51" t="str">
            <v>Telefonica CA Report || Oct-23</v>
          </cell>
        </row>
        <row r="52">
          <cell r="B52" t="str">
            <v>Yes</v>
          </cell>
          <cell r="C52">
            <v>0.56319444444444444</v>
          </cell>
          <cell r="D52" t="str">
            <v>Etisalat_UAE_ONMO_Report || Oct-2023</v>
          </cell>
        </row>
        <row r="53">
          <cell r="B53" t="str">
            <v>Yes</v>
          </cell>
          <cell r="C53">
            <v>0.56319444444444444</v>
          </cell>
          <cell r="D53" t="str">
            <v>UMobile_Rbt_Report || Oct-23</v>
          </cell>
        </row>
        <row r="54">
          <cell r="B54" t="str">
            <v>Yes</v>
          </cell>
          <cell r="C54">
            <v>0.5625</v>
          </cell>
          <cell r="D54" t="str">
            <v>STC_Bahrain_Mradio_Active_Base</v>
          </cell>
        </row>
        <row r="55">
          <cell r="B55" t="str">
            <v>Yes</v>
          </cell>
          <cell r="C55">
            <v>0.5625</v>
          </cell>
          <cell r="D55" t="str">
            <v>BSNL_CA_Gratification_Weekly_Report</v>
          </cell>
        </row>
        <row r="56">
          <cell r="B56" t="str">
            <v>Yes</v>
          </cell>
          <cell r="C56">
            <v>0.5625</v>
          </cell>
          <cell r="D56" t="str">
            <v>BSNL_CA_Gratification_Daily_Report</v>
          </cell>
        </row>
        <row r="57">
          <cell r="B57" t="str">
            <v>Yes</v>
          </cell>
          <cell r="C57">
            <v>0.5625</v>
          </cell>
          <cell r="D57" t="str">
            <v>BKASH_CA_Gratification_Monthly_Report</v>
          </cell>
        </row>
        <row r="58">
          <cell r="B58" t="str">
            <v>Yes</v>
          </cell>
          <cell r="C58">
            <v>0.5625</v>
          </cell>
          <cell r="D58" t="str">
            <v>VODACOM_TP_Utilization_Report</v>
          </cell>
        </row>
        <row r="59">
          <cell r="B59" t="str">
            <v>Yes</v>
          </cell>
          <cell r="C59">
            <v>0.5625</v>
          </cell>
          <cell r="D59" t="str">
            <v>Telefonica_CVAS_Missing_Data_Report || 04-Oct-23</v>
          </cell>
        </row>
        <row r="60">
          <cell r="B60" t="str">
            <v>Yes</v>
          </cell>
          <cell r="C60">
            <v>0.55625000000000002</v>
          </cell>
          <cell r="D60" t="str">
            <v>TEF_ONMO_Report || Oct-2023</v>
          </cell>
        </row>
        <row r="61">
          <cell r="B61" t="str">
            <v>Yes</v>
          </cell>
          <cell r="C61">
            <v>0.55555555555555558</v>
          </cell>
          <cell r="D61" t="str">
            <v>CellCard_Daily_Winners_Report</v>
          </cell>
        </row>
        <row r="62">
          <cell r="B62" t="str">
            <v>Yes</v>
          </cell>
          <cell r="C62">
            <v>0.55555555555555558</v>
          </cell>
          <cell r="D62" t="str">
            <v>AIRTELUG_AA_SMSONE_CP_Report</v>
          </cell>
        </row>
        <row r="63">
          <cell r="B63" t="str">
            <v>Yes</v>
          </cell>
          <cell r="C63">
            <v>0.55555555555555558</v>
          </cell>
          <cell r="D63" t="str">
            <v>VodacomDRC_USSD_Report</v>
          </cell>
        </row>
        <row r="64">
          <cell r="B64" t="str">
            <v>Yes</v>
          </cell>
          <cell r="C64">
            <v>0.55277777777777781</v>
          </cell>
          <cell r="D64" t="str">
            <v>Egypt_RBT_Utilization</v>
          </cell>
        </row>
        <row r="65">
          <cell r="B65" t="str">
            <v>Yes</v>
          </cell>
          <cell r="C65">
            <v>0.55208333333333337</v>
          </cell>
          <cell r="D65" t="str">
            <v>MTNLIBERIA :: RBT_Report ||Oct-23</v>
          </cell>
        </row>
        <row r="66">
          <cell r="B66" t="str">
            <v>Yes</v>
          </cell>
          <cell r="C66">
            <v>0.55069444444444449</v>
          </cell>
          <cell r="D66" t="str">
            <v>Ooredo_Oman ONMO Daily Report || Oct-2023</v>
          </cell>
        </row>
        <row r="67">
          <cell r="B67" t="str">
            <v>Yes</v>
          </cell>
          <cell r="C67">
            <v>0.55069444444444449</v>
          </cell>
          <cell r="D67" t="str">
            <v>MIS Report || VODACOMSA_SUCCESS_FAILURE_RBT_REPORT || Oct-23</v>
          </cell>
        </row>
        <row r="68">
          <cell r="B68" t="str">
            <v>Yes</v>
          </cell>
          <cell r="C68">
            <v>0.54861111111111105</v>
          </cell>
          <cell r="D68" t="str">
            <v>OML_Gratification_Top_Game_time_spent_rank</v>
          </cell>
        </row>
        <row r="69">
          <cell r="B69" t="str">
            <v>Yes</v>
          </cell>
          <cell r="C69">
            <v>0.54861111111111105</v>
          </cell>
          <cell r="D69" t="str">
            <v>STC_Bahrain Active Base</v>
          </cell>
        </row>
        <row r="70">
          <cell r="B70" t="str">
            <v>Yes</v>
          </cell>
          <cell r="C70">
            <v>0.54861111111111105</v>
          </cell>
          <cell r="D70" t="str">
            <v>MTN_TP_Utilization_Report</v>
          </cell>
        </row>
        <row r="71">
          <cell r="B71" t="str">
            <v>Yes</v>
          </cell>
          <cell r="C71">
            <v>0.54861111111111105</v>
          </cell>
          <cell r="D71" t="str">
            <v>ATA_PLAY_Report</v>
          </cell>
        </row>
        <row r="72">
          <cell r="B72" t="str">
            <v>Yes</v>
          </cell>
          <cell r="C72">
            <v>0.54861111111111105</v>
          </cell>
          <cell r="D72" t="str">
            <v>CellCard_Monthly_Winners_Report</v>
          </cell>
        </row>
        <row r="73">
          <cell r="B73" t="str">
            <v>Yes</v>
          </cell>
          <cell r="C73">
            <v>0.54861111111111105</v>
          </cell>
          <cell r="D73" t="str">
            <v>VodacomDRC_UMP_Report</v>
          </cell>
        </row>
        <row r="74">
          <cell r="B74" t="str">
            <v>Yes</v>
          </cell>
          <cell r="C74">
            <v>0.54513888888888895</v>
          </cell>
          <cell r="D74" t="str">
            <v>STC_BAHRAIN || Mradio_Report  || Oct-23</v>
          </cell>
        </row>
        <row r="75">
          <cell r="B75" t="str">
            <v>Yes</v>
          </cell>
          <cell r="C75">
            <v>0.54513888888888895</v>
          </cell>
          <cell r="D75" t="str">
            <v>STC_BAHRAIN_Daily_AOP_Report || 04-Oct-23</v>
          </cell>
        </row>
        <row r="76">
          <cell r="B76" t="str">
            <v>Yes</v>
          </cell>
          <cell r="C76">
            <v>0.54375000000000007</v>
          </cell>
          <cell r="D76" t="str">
            <v>Grameen_MIS_RRBT_New</v>
          </cell>
        </row>
        <row r="77">
          <cell r="B77" t="str">
            <v>Yes</v>
          </cell>
          <cell r="C77">
            <v>0.54236111111111118</v>
          </cell>
          <cell r="D77" t="str">
            <v>VadacomSA_ArtistPortal_Report</v>
          </cell>
        </row>
        <row r="78">
          <cell r="B78" t="str">
            <v>Yes</v>
          </cell>
          <cell r="C78">
            <v>0.54236111111111118</v>
          </cell>
          <cell r="D78" t="str">
            <v>Grameen_MIS_RBT_New</v>
          </cell>
        </row>
        <row r="79">
          <cell r="B79" t="str">
            <v>Yes</v>
          </cell>
          <cell r="C79">
            <v>0.54166666666666663</v>
          </cell>
          <cell r="D79" t="str">
            <v>Lebara_RBT_Utilization</v>
          </cell>
        </row>
        <row r="80">
          <cell r="B80" t="str">
            <v>Yes</v>
          </cell>
          <cell r="C80">
            <v>0.54166666666666663</v>
          </cell>
          <cell r="D80" t="str">
            <v>KALEIDOSCOPE_Base42</v>
          </cell>
        </row>
        <row r="81">
          <cell r="B81" t="str">
            <v>Yes</v>
          </cell>
          <cell r="C81">
            <v>0.54166666666666663</v>
          </cell>
          <cell r="D81" t="str">
            <v>AIRTEL_Wynk_Prism_Failure_Cases</v>
          </cell>
        </row>
        <row r="82">
          <cell r="B82" t="str">
            <v>Yes</v>
          </cell>
          <cell r="C82">
            <v>0.54166666666666663</v>
          </cell>
          <cell r="D82" t="str">
            <v>KALEIDOSCOPE_STV</v>
          </cell>
        </row>
        <row r="83">
          <cell r="B83" t="str">
            <v>Yes</v>
          </cell>
          <cell r="C83">
            <v>0.54166666666666663</v>
          </cell>
          <cell r="D83" t="str">
            <v>OML_Gratification_Top_Game_time_spent_rank</v>
          </cell>
        </row>
        <row r="84">
          <cell r="B84" t="str">
            <v>Yes</v>
          </cell>
          <cell r="C84">
            <v>0.54166666666666663</v>
          </cell>
          <cell r="D84" t="str">
            <v>Vodacom DRC_Toneplayer_Utilization_Report</v>
          </cell>
        </row>
        <row r="85">
          <cell r="B85" t="str">
            <v>Yes</v>
          </cell>
          <cell r="C85">
            <v>0.53819444444444442</v>
          </cell>
          <cell r="D85" t="str">
            <v>VFGreece_RBT_Utilization_Report || Oct-23</v>
          </cell>
        </row>
        <row r="86">
          <cell r="B86" t="str">
            <v>Yes</v>
          </cell>
          <cell r="C86">
            <v>0.53819444444444442</v>
          </cell>
          <cell r="D86" t="str">
            <v>VFGreece_IVR_RBT_Utilization_Report || Oct-23</v>
          </cell>
        </row>
        <row r="87">
          <cell r="B87" t="str">
            <v>Yes</v>
          </cell>
          <cell r="C87">
            <v>0.53541666666666665</v>
          </cell>
          <cell r="D87" t="str">
            <v>VFGREECE_CA_REPORT</v>
          </cell>
        </row>
        <row r="88">
          <cell r="B88" t="str">
            <v>Yes</v>
          </cell>
          <cell r="C88">
            <v>0.53472222222222221</v>
          </cell>
          <cell r="D88" t="str">
            <v>OMANTEL_ONMO_Active_Base_Report</v>
          </cell>
        </row>
        <row r="89">
          <cell r="B89" t="str">
            <v>Yes</v>
          </cell>
          <cell r="C89">
            <v>0.53333333333333333</v>
          </cell>
          <cell r="D89" t="str">
            <v>Idea_APP_Activebase_count_Report</v>
          </cell>
        </row>
        <row r="90">
          <cell r="B90" t="str">
            <v>Yes</v>
          </cell>
          <cell r="C90">
            <v>0.53333333333333333</v>
          </cell>
          <cell r="D90" t="str">
            <v>VodacomMZ_Sports_Portal_Report || Oct-23</v>
          </cell>
        </row>
        <row r="91">
          <cell r="B91" t="str">
            <v>Yes</v>
          </cell>
          <cell r="C91">
            <v>0.53333333333333333</v>
          </cell>
          <cell r="D91" t="str">
            <v>UNITELANGOLA CA KPI Report || 04-Oct-23</v>
          </cell>
        </row>
        <row r="92">
          <cell r="B92" t="str">
            <v>No</v>
          </cell>
          <cell r="C92">
            <v>0.53263888888888888</v>
          </cell>
          <cell r="D92" t="str">
            <v>&lt;Failed&gt; : Ethiotelecom CA KPI Report || 04-Oct-23</v>
          </cell>
        </row>
        <row r="93">
          <cell r="B93" t="str">
            <v>Yes</v>
          </cell>
          <cell r="C93">
            <v>0.53263888888888888</v>
          </cell>
          <cell r="D93" t="str">
            <v>MTN Afghanistan || ACTC_CP_Report || 04-Oct-23</v>
          </cell>
        </row>
        <row r="94">
          <cell r="B94" t="str">
            <v>Yes</v>
          </cell>
          <cell r="C94">
            <v>0.53125</v>
          </cell>
          <cell r="D94" t="str">
            <v>MTN Afghanistan || YRMPT_CP_Report || 04-Oct-23</v>
          </cell>
        </row>
        <row r="95">
          <cell r="B95" t="str">
            <v>Yes</v>
          </cell>
          <cell r="C95">
            <v>0.52916666666666667</v>
          </cell>
          <cell r="D95" t="str">
            <v>MEO_Portugal_CA_REPORT</v>
          </cell>
        </row>
        <row r="96">
          <cell r="B96" t="str">
            <v>Yes</v>
          </cell>
          <cell r="C96">
            <v>0.52847222222222223</v>
          </cell>
          <cell r="D96" t="str">
            <v>WiFi_daily_Kpi_Report || Oct-2023</v>
          </cell>
        </row>
        <row r="97">
          <cell r="B97" t="str">
            <v>Yes</v>
          </cell>
          <cell r="C97">
            <v>0.52777777777777779</v>
          </cell>
          <cell r="D97" t="str">
            <v>OMANTEL_ONMO_Transaction_Report</v>
          </cell>
        </row>
        <row r="98">
          <cell r="B98" t="str">
            <v>Yes</v>
          </cell>
          <cell r="C98">
            <v>0.52777777777777779</v>
          </cell>
          <cell r="D98" t="str">
            <v>BANGLALINK_RBT_Active_Base</v>
          </cell>
        </row>
        <row r="99">
          <cell r="B99" t="str">
            <v>Yes</v>
          </cell>
          <cell r="C99">
            <v>0.52777777777777779</v>
          </cell>
          <cell r="D99" t="str">
            <v>ORANGE_SPAIN_CA_REPORT</v>
          </cell>
        </row>
        <row r="100">
          <cell r="B100" t="str">
            <v>Yes</v>
          </cell>
          <cell r="C100">
            <v>0.52777777777777779</v>
          </cell>
          <cell r="D100" t="str">
            <v>TELEKOM_ROMANIA_CA_REPORT</v>
          </cell>
        </row>
        <row r="101">
          <cell r="B101" t="str">
            <v>Yes</v>
          </cell>
          <cell r="C101">
            <v>0.52777777777777779</v>
          </cell>
          <cell r="D101" t="str">
            <v>MTNGHANACA Daily Report || 04-Oct-23</v>
          </cell>
        </row>
        <row r="102">
          <cell r="B102" t="str">
            <v>Yes</v>
          </cell>
          <cell r="C102">
            <v>0.52638888888888891</v>
          </cell>
          <cell r="D102" t="str">
            <v>STC_BAHRAIN :: RBT_Report ||Oct-23</v>
          </cell>
        </row>
        <row r="103">
          <cell r="B103" t="str">
            <v>Yes</v>
          </cell>
          <cell r="C103">
            <v>0.52361111111111114</v>
          </cell>
          <cell r="D103" t="str">
            <v>ROMANIA_CA_REPORT</v>
          </cell>
        </row>
        <row r="104">
          <cell r="B104" t="str">
            <v>Yes</v>
          </cell>
          <cell r="C104">
            <v>0.52083333333333337</v>
          </cell>
          <cell r="D104" t="str">
            <v>GP_RBT_Active_Base</v>
          </cell>
        </row>
        <row r="105">
          <cell r="B105" t="str">
            <v>Yes</v>
          </cell>
          <cell r="C105">
            <v>0.52083333333333337</v>
          </cell>
          <cell r="D105" t="str">
            <v>BSNL_OBD_PROMO_WISE_DOWNLOADS_REPORT</v>
          </cell>
        </row>
        <row r="106">
          <cell r="B106" t="str">
            <v>Yes</v>
          </cell>
          <cell r="C106">
            <v>0.52083333333333337</v>
          </cell>
          <cell r="D106" t="str">
            <v>BD_Revenue_Report  || Oct-23</v>
          </cell>
        </row>
        <row r="107">
          <cell r="B107" t="str">
            <v>Yes</v>
          </cell>
          <cell r="C107">
            <v>0.52083333333333337</v>
          </cell>
          <cell r="D107" t="str">
            <v>Uganda_RBT_FBALL_MOD_Performance</v>
          </cell>
        </row>
        <row r="108">
          <cell r="B108" t="str">
            <v>Yes</v>
          </cell>
          <cell r="C108">
            <v>0.52083333333333337</v>
          </cell>
          <cell r="D108" t="str">
            <v>Bangla_link_user_consent_data</v>
          </cell>
        </row>
        <row r="109">
          <cell r="B109" t="str">
            <v>Yes</v>
          </cell>
          <cell r="C109">
            <v>0.52083333333333337</v>
          </cell>
          <cell r="D109" t="str">
            <v>Yogio_Spain_CA_REPORT</v>
          </cell>
        </row>
        <row r="110">
          <cell r="B110" t="str">
            <v>Yes</v>
          </cell>
          <cell r="C110">
            <v>0.52083333333333337</v>
          </cell>
          <cell r="D110" t="str">
            <v>BSNL_CA _Activation_Base_Data</v>
          </cell>
        </row>
        <row r="111">
          <cell r="B111" t="str">
            <v>Yes</v>
          </cell>
          <cell r="C111">
            <v>0.52083333333333337</v>
          </cell>
          <cell r="D111" t="str">
            <v>lebarasa_Azan_base</v>
          </cell>
        </row>
        <row r="112">
          <cell r="B112" t="str">
            <v>Yes</v>
          </cell>
          <cell r="C112">
            <v>0.52083333333333337</v>
          </cell>
          <cell r="D112" t="str">
            <v>lebarasa_Full_Transaction_Details</v>
          </cell>
        </row>
        <row r="113">
          <cell r="B113" t="str">
            <v>Yes</v>
          </cell>
          <cell r="C113">
            <v>0.52083333333333337</v>
          </cell>
          <cell r="D113" t="str">
            <v>VodacomSA_AIC_Revenue</v>
          </cell>
        </row>
        <row r="114">
          <cell r="B114" t="str">
            <v>Yes</v>
          </cell>
          <cell r="C114">
            <v>0.52083333333333337</v>
          </cell>
          <cell r="D114" t="str">
            <v>lebarasa_active_live_base</v>
          </cell>
        </row>
        <row r="115">
          <cell r="B115" t="str">
            <v>Yes</v>
          </cell>
          <cell r="C115">
            <v>0.52083333333333337</v>
          </cell>
          <cell r="D115" t="str">
            <v>VodacomSA_CA_Revenue</v>
          </cell>
        </row>
        <row r="116">
          <cell r="B116" t="str">
            <v>Yes</v>
          </cell>
          <cell r="C116">
            <v>0.52083333333333337</v>
          </cell>
          <cell r="D116" t="str">
            <v>Vodafone_Daily_Churn_Report</v>
          </cell>
        </row>
        <row r="117">
          <cell r="B117" t="str">
            <v>Yes</v>
          </cell>
          <cell r="C117">
            <v>0.52083333333333337</v>
          </cell>
          <cell r="D117" t="str">
            <v>lebarasa_AZAAN_Activation</v>
          </cell>
        </row>
        <row r="118">
          <cell r="B118" t="str">
            <v>Yes</v>
          </cell>
          <cell r="C118">
            <v>0.52083333333333337</v>
          </cell>
          <cell r="D118" t="str">
            <v>STC_Full_Transaction_Details</v>
          </cell>
        </row>
        <row r="119">
          <cell r="B119" t="str">
            <v>Yes</v>
          </cell>
          <cell r="C119">
            <v>0.52083333333333337</v>
          </cell>
          <cell r="D119" t="str">
            <v>AirtelUG_K2_Telecom_CP_Report</v>
          </cell>
        </row>
        <row r="120">
          <cell r="B120" t="str">
            <v>Yes</v>
          </cell>
          <cell r="C120">
            <v>0.52083333333333337</v>
          </cell>
          <cell r="D120" t="str">
            <v>lebarasa_ActiveBase_Song_Download</v>
          </cell>
        </row>
        <row r="121">
          <cell r="B121" t="str">
            <v>Yes</v>
          </cell>
          <cell r="C121">
            <v>0.5180555555555556</v>
          </cell>
          <cell r="D121" t="str">
            <v>AIRTELNIGERIA CA KPI Report || Oct-23</v>
          </cell>
        </row>
        <row r="122">
          <cell r="B122" t="str">
            <v>Yes</v>
          </cell>
          <cell r="C122">
            <v>0.51736111111111105</v>
          </cell>
          <cell r="D122" t="str">
            <v>VFGREECE_RBT_REPORT</v>
          </cell>
        </row>
        <row r="123">
          <cell r="B123" t="str">
            <v>Yes</v>
          </cell>
          <cell r="C123">
            <v>0.51736111111111105</v>
          </cell>
          <cell r="D123" t="str">
            <v>Vodacomsa_MIS-Vodacomsa_RBT_Daily_MIS</v>
          </cell>
        </row>
        <row r="124">
          <cell r="B124" t="str">
            <v>Yes</v>
          </cell>
          <cell r="C124">
            <v>0.51666666666666672</v>
          </cell>
          <cell r="D124" t="str">
            <v>MTNIVORYCOASTCA Report || 04-Oct-23</v>
          </cell>
        </row>
        <row r="125">
          <cell r="B125" t="str">
            <v>Yes</v>
          </cell>
          <cell r="C125">
            <v>0.51666666666666672</v>
          </cell>
          <cell r="D125" t="str">
            <v>VFQatar CA KPI Report || 04-Oct-23</v>
          </cell>
        </row>
        <row r="126">
          <cell r="B126" t="str">
            <v>Yes</v>
          </cell>
          <cell r="C126">
            <v>0.51458333333333328</v>
          </cell>
          <cell r="D126" t="str">
            <v>COSMOTEGREECE_CA_REPORT</v>
          </cell>
        </row>
        <row r="127">
          <cell r="B127" t="str">
            <v>Yes</v>
          </cell>
          <cell r="C127">
            <v>0.51388888888888895</v>
          </cell>
          <cell r="D127" t="str">
            <v>Grameen_RBT_Active_Base</v>
          </cell>
        </row>
        <row r="128">
          <cell r="B128" t="str">
            <v>Yes</v>
          </cell>
          <cell r="C128">
            <v>0.51388888888888895</v>
          </cell>
          <cell r="D128" t="str">
            <v>Slide_Visuals_Report</v>
          </cell>
        </row>
        <row r="129">
          <cell r="B129" t="str">
            <v>Yes</v>
          </cell>
          <cell r="C129">
            <v>0.51388888888888895</v>
          </cell>
          <cell r="D129" t="str">
            <v>Content Report for GN_MXL</v>
          </cell>
        </row>
        <row r="130">
          <cell r="B130" t="str">
            <v>Yes</v>
          </cell>
          <cell r="C130">
            <v>0.51388888888888895</v>
          </cell>
          <cell r="D130" t="str">
            <v>Orange_Spain_GCLID</v>
          </cell>
        </row>
        <row r="131">
          <cell r="B131" t="str">
            <v>Yes</v>
          </cell>
          <cell r="C131">
            <v>0.51388888888888895</v>
          </cell>
          <cell r="D131" t="str">
            <v>MEOPORTUGALCA_GCLID</v>
          </cell>
        </row>
        <row r="132">
          <cell r="B132" t="str">
            <v>Yes</v>
          </cell>
          <cell r="C132">
            <v>0.51388888888888895</v>
          </cell>
          <cell r="D132" t="str">
            <v>Grameen_SDK_Mode_Daily_Report</v>
          </cell>
        </row>
        <row r="133">
          <cell r="B133" t="str">
            <v>Yes</v>
          </cell>
          <cell r="C133">
            <v>0.51111111111111118</v>
          </cell>
          <cell r="D133" t="str">
            <v>VFQT Game Cube Report || 04-Oct-23</v>
          </cell>
        </row>
        <row r="134">
          <cell r="B134" t="str">
            <v>Yes</v>
          </cell>
          <cell r="C134">
            <v>0.51041666666666663</v>
          </cell>
          <cell r="D134" t="str">
            <v>UNITELANGOLA CA Report || Oct-23</v>
          </cell>
        </row>
        <row r="135">
          <cell r="B135" t="str">
            <v>Yes</v>
          </cell>
          <cell r="C135">
            <v>0.50763888888888886</v>
          </cell>
          <cell r="D135" t="str">
            <v>MTNCAMEROONCA_Report || Oct-23</v>
          </cell>
        </row>
        <row r="136">
          <cell r="B136" t="str">
            <v>Yes</v>
          </cell>
          <cell r="C136">
            <v>0.50763888888888886</v>
          </cell>
          <cell r="D136" t="str">
            <v>TIGOTANZANIA Arena Report || 04-Oct-23</v>
          </cell>
        </row>
        <row r="137">
          <cell r="B137" t="str">
            <v>Yes</v>
          </cell>
          <cell r="C137">
            <v>0.50763888888888886</v>
          </cell>
          <cell r="D137" t="str">
            <v>MTNZAMBIA CA Report || 04-Oct-23</v>
          </cell>
        </row>
        <row r="138">
          <cell r="B138" t="str">
            <v>Yes</v>
          </cell>
          <cell r="C138">
            <v>0.50694444444444442</v>
          </cell>
          <cell r="D138" t="str">
            <v>AA_XSCAPE_AIRTEUG_Report</v>
          </cell>
        </row>
        <row r="139">
          <cell r="B139" t="str">
            <v>Yes</v>
          </cell>
          <cell r="C139">
            <v>0.50694444444444442</v>
          </cell>
          <cell r="D139" t="str">
            <v>ATAUG_BUGANDA_ANTHEM_Content report</v>
          </cell>
        </row>
        <row r="140">
          <cell r="B140" t="str">
            <v>Yes</v>
          </cell>
          <cell r="C140">
            <v>0.50694444444444442</v>
          </cell>
          <cell r="D140" t="str">
            <v>MTN_Africa_IVR_Utilization</v>
          </cell>
        </row>
        <row r="141">
          <cell r="B141" t="str">
            <v>Yes</v>
          </cell>
          <cell r="C141">
            <v>0.50694444444444442</v>
          </cell>
          <cell r="D141" t="str">
            <v>Vodacom_Africa_IVR_Utilization_Report</v>
          </cell>
        </row>
        <row r="142">
          <cell r="B142" t="str">
            <v>Yes</v>
          </cell>
          <cell r="C142">
            <v>0.50694444444444442</v>
          </cell>
          <cell r="D142" t="str">
            <v>Airtel_Africa_IVR_Utilization_Report</v>
          </cell>
        </row>
        <row r="143">
          <cell r="B143" t="str">
            <v>Yes</v>
          </cell>
          <cell r="C143">
            <v>0.50694444444444442</v>
          </cell>
          <cell r="D143" t="str">
            <v>Telkomken_Unitel_Africa_IVR_Utilization_Report</v>
          </cell>
        </row>
        <row r="144">
          <cell r="B144" t="str">
            <v>Yes</v>
          </cell>
          <cell r="C144">
            <v>0.50694444444444442</v>
          </cell>
          <cell r="D144" t="str">
            <v>Grameen_Top_Song_Download_Report_Last_6_Months</v>
          </cell>
        </row>
        <row r="145">
          <cell r="B145" t="str">
            <v>Yes</v>
          </cell>
          <cell r="C145">
            <v>0.50694444444444442</v>
          </cell>
          <cell r="D145" t="str">
            <v>Grameen_Top_Song_Download_Report_COPY_Last_6_Months</v>
          </cell>
        </row>
        <row r="146">
          <cell r="B146" t="str">
            <v>Yes</v>
          </cell>
          <cell r="C146">
            <v>0.50624999999999998</v>
          </cell>
          <cell r="D146" t="str">
            <v>RE: Base Data along with Transection Data Needed</v>
          </cell>
        </row>
        <row r="147">
          <cell r="B147" t="str">
            <v>Yes</v>
          </cell>
          <cell r="C147">
            <v>0.50624999999999998</v>
          </cell>
          <cell r="D147" t="str">
            <v>RE: Dialog Reports - Sep'23</v>
          </cell>
        </row>
        <row r="148">
          <cell r="B148" t="str">
            <v>Yes</v>
          </cell>
          <cell r="C148">
            <v>0.50555555555555554</v>
          </cell>
          <cell r="D148" t="str">
            <v>DU RBT Report || 04-Oct-23</v>
          </cell>
        </row>
        <row r="149">
          <cell r="B149" t="str">
            <v>Yes</v>
          </cell>
          <cell r="C149">
            <v>0.50416666666666665</v>
          </cell>
          <cell r="D149" t="str">
            <v>VF_Qatar_RBT_MIS_Report</v>
          </cell>
        </row>
        <row r="150">
          <cell r="B150" t="str">
            <v>Yes</v>
          </cell>
          <cell r="C150">
            <v>0.50416666666666665</v>
          </cell>
          <cell r="D150" t="str">
            <v>TEF_MIS-Renewal_Revenue_Split</v>
          </cell>
        </row>
        <row r="151">
          <cell r="B151" t="str">
            <v>Yes</v>
          </cell>
          <cell r="C151">
            <v>0.50347222222222221</v>
          </cell>
          <cell r="D151" t="str">
            <v>VFQATAR_Contest_Base_MSISDN-Oct'23</v>
          </cell>
        </row>
        <row r="152">
          <cell r="B152" t="str">
            <v>No</v>
          </cell>
          <cell r="C152">
            <v>0.50347222222222221</v>
          </cell>
          <cell r="D152" t="str">
            <v>&lt;Failed&gt; : VFQ - 'World of Prizes' - Season 4 Daily MIS || 04-Oct-23</v>
          </cell>
        </row>
        <row r="153">
          <cell r="B153" t="str">
            <v>Yes</v>
          </cell>
          <cell r="C153">
            <v>0.50208333333333333</v>
          </cell>
          <cell r="D153" t="str">
            <v>DU_MIS-DU_Azaan_Daily_Report</v>
          </cell>
        </row>
        <row r="154">
          <cell r="B154" t="str">
            <v>Yes</v>
          </cell>
          <cell r="C154">
            <v>0.50208333333333333</v>
          </cell>
          <cell r="D154" t="str">
            <v>DU MIS :: DU_Consolidate_Report</v>
          </cell>
        </row>
        <row r="155">
          <cell r="B155" t="str">
            <v>Yes</v>
          </cell>
          <cell r="C155">
            <v>0.50069444444444444</v>
          </cell>
          <cell r="D155" t="str">
            <v>MTNZAMBIA CA KPI Report || 04-Oct-23</v>
          </cell>
        </row>
        <row r="156">
          <cell r="B156" t="str">
            <v>Yes</v>
          </cell>
          <cell r="C156">
            <v>0.50069444444444444</v>
          </cell>
          <cell r="D156" t="str">
            <v>SFCOM MegaContest Report || Oct-23</v>
          </cell>
        </row>
        <row r="157">
          <cell r="B157" t="str">
            <v>Yes</v>
          </cell>
          <cell r="C157">
            <v>0.50069444444444444</v>
          </cell>
          <cell r="D157" t="str">
            <v>BANGLALINK_SMS_KPI_Report_Oct'23</v>
          </cell>
        </row>
        <row r="158">
          <cell r="B158" t="str">
            <v>Yes</v>
          </cell>
          <cell r="C158">
            <v>0.5</v>
          </cell>
          <cell r="D158" t="str">
            <v>MTN AFG || RBT Active Base Report</v>
          </cell>
        </row>
        <row r="159">
          <cell r="B159" t="str">
            <v>Yes</v>
          </cell>
          <cell r="C159">
            <v>0.4993055555555555</v>
          </cell>
          <cell r="D159" t="str">
            <v>DU_MIS-DU_MOSMS_Report</v>
          </cell>
        </row>
        <row r="160">
          <cell r="B160" t="str">
            <v>Yes</v>
          </cell>
          <cell r="C160">
            <v>0.49652777777777773</v>
          </cell>
          <cell r="D160" t="str">
            <v>VFQATAR-Activate Base RBT &amp; Azaan daily report</v>
          </cell>
        </row>
        <row r="161">
          <cell r="B161" t="str">
            <v>Yes</v>
          </cell>
          <cell r="C161">
            <v>0.49652777777777773</v>
          </cell>
          <cell r="D161" t="str">
            <v>VFGR_Games_Daily_Subscription || Oct-23</v>
          </cell>
        </row>
        <row r="162">
          <cell r="B162" t="str">
            <v>Yes</v>
          </cell>
          <cell r="C162">
            <v>0.49652777777777773</v>
          </cell>
          <cell r="D162" t="str">
            <v>DU_Active_Base-Daily</v>
          </cell>
        </row>
        <row r="163">
          <cell r="B163" t="str">
            <v>Yes</v>
          </cell>
          <cell r="C163">
            <v>0.49513888888888885</v>
          </cell>
          <cell r="D163" t="str">
            <v>STC_MUSIC_PORTAL || Oct-23</v>
          </cell>
        </row>
        <row r="164">
          <cell r="B164" t="str">
            <v>Yes</v>
          </cell>
          <cell r="C164">
            <v>0.49374999999999997</v>
          </cell>
          <cell r="D164" t="str">
            <v>OOREDOOMAN_CA_Report || Oct-2023</v>
          </cell>
        </row>
        <row r="165">
          <cell r="B165" t="str">
            <v>Yes</v>
          </cell>
          <cell r="C165">
            <v>0.49305555555555558</v>
          </cell>
          <cell r="D165" t="str">
            <v>TM-Truemove_CA_KPI_Report</v>
          </cell>
        </row>
        <row r="166">
          <cell r="B166" t="str">
            <v>Yes</v>
          </cell>
          <cell r="C166">
            <v>0.49305555555555558</v>
          </cell>
          <cell r="D166" t="str">
            <v>Pay_operator_wise_summary</v>
          </cell>
        </row>
        <row r="167">
          <cell r="B167" t="str">
            <v>Yes</v>
          </cell>
          <cell r="C167">
            <v>0.49305555555555558</v>
          </cell>
          <cell r="D167" t="str">
            <v>VODACOMMZ_MWEB_Data</v>
          </cell>
        </row>
        <row r="168">
          <cell r="B168" t="str">
            <v>Yes</v>
          </cell>
          <cell r="C168">
            <v>0.49305555555555558</v>
          </cell>
          <cell r="D168" t="str">
            <v>SFCOMKEN_CA_Report</v>
          </cell>
        </row>
        <row r="169">
          <cell r="B169" t="str">
            <v>Yes</v>
          </cell>
          <cell r="C169">
            <v>0.49305555555555558</v>
          </cell>
          <cell r="D169" t="str">
            <v>VF Greece||Content_Report || 04-Oct-23</v>
          </cell>
        </row>
        <row r="170">
          <cell r="B170" t="str">
            <v>Yes</v>
          </cell>
          <cell r="C170">
            <v>0.4916666666666667</v>
          </cell>
          <cell r="D170" t="str">
            <v>DU_IVR_Utilization || 04-Oct-23</v>
          </cell>
        </row>
        <row r="171">
          <cell r="B171" t="str">
            <v>Yes</v>
          </cell>
          <cell r="C171">
            <v>0.4909722222222222</v>
          </cell>
          <cell r="D171" t="str">
            <v>VFGhana_Games_Portal_Report</v>
          </cell>
        </row>
        <row r="172">
          <cell r="B172" t="str">
            <v>Yes</v>
          </cell>
          <cell r="C172">
            <v>0.49027777777777781</v>
          </cell>
          <cell r="D172" t="str">
            <v>OMANTEL_ONMO_Report || Oct-2023</v>
          </cell>
        </row>
        <row r="173">
          <cell r="B173" t="str">
            <v>Yes</v>
          </cell>
          <cell r="C173">
            <v>0.48958333333333331</v>
          </cell>
          <cell r="D173" t="str">
            <v>SFCOM CA Report || 04-Oct-23</v>
          </cell>
        </row>
        <row r="174">
          <cell r="B174" t="str">
            <v>Yes</v>
          </cell>
          <cell r="C174">
            <v>0.4861111111111111</v>
          </cell>
          <cell r="D174" t="str">
            <v>ZB_VP_Full_Transaction_Details</v>
          </cell>
        </row>
        <row r="175">
          <cell r="B175" t="str">
            <v>Yes</v>
          </cell>
          <cell r="C175">
            <v>0.48472222222222222</v>
          </cell>
          <cell r="D175" t="str">
            <v>EthioTelecom Elff Games Report || 04-Oct-23</v>
          </cell>
        </row>
        <row r="176">
          <cell r="B176" t="str">
            <v>Yes</v>
          </cell>
          <cell r="C176">
            <v>0.47986111111111113</v>
          </cell>
          <cell r="D176" t="str">
            <v>HUTCHSL_KPI_Reports</v>
          </cell>
        </row>
        <row r="177">
          <cell r="B177" t="str">
            <v>Yes</v>
          </cell>
          <cell r="C177">
            <v>0.47986111111111113</v>
          </cell>
          <cell r="D177" t="str">
            <v>MTNNIGERIA CA_Daily_Report || 04-Oct-23</v>
          </cell>
        </row>
        <row r="178">
          <cell r="B178" t="str">
            <v>Yes</v>
          </cell>
          <cell r="C178">
            <v>0.47916666666666669</v>
          </cell>
          <cell r="D178" t="str">
            <v>Dialog_Rbt_Active_base_Report</v>
          </cell>
        </row>
        <row r="179">
          <cell r="B179" t="str">
            <v>Yes</v>
          </cell>
          <cell r="C179">
            <v>0.47916666666666669</v>
          </cell>
          <cell r="D179" t="str">
            <v>Dialog_Umobilemy_TP_Daily_Report</v>
          </cell>
        </row>
        <row r="180">
          <cell r="B180" t="str">
            <v>Yes</v>
          </cell>
          <cell r="C180">
            <v>0.47916666666666669</v>
          </cell>
          <cell r="D180" t="str">
            <v>Banglalink_Gaming MAU unique_MDNs list</v>
          </cell>
        </row>
        <row r="181">
          <cell r="B181" t="str">
            <v>Yes</v>
          </cell>
          <cell r="C181">
            <v>0.47847222222222219</v>
          </cell>
          <cell r="D181" t="str">
            <v>ZainBH Sport Portal || 04-Oct-23</v>
          </cell>
        </row>
        <row r="182">
          <cell r="B182" t="str">
            <v>Yes</v>
          </cell>
          <cell r="C182">
            <v>0.47847222222222219</v>
          </cell>
          <cell r="D182" t="str">
            <v>DU_MIS-DU_Rbt_Utilizaton</v>
          </cell>
        </row>
        <row r="183">
          <cell r="B183" t="str">
            <v>Yes</v>
          </cell>
          <cell r="C183">
            <v>0.47847222222222219</v>
          </cell>
          <cell r="D183" t="str">
            <v>ZainBH Gaming Store || 04-Oct-23</v>
          </cell>
        </row>
        <row r="184">
          <cell r="B184" t="str">
            <v>Yes</v>
          </cell>
          <cell r="C184">
            <v>0.47569444444444442</v>
          </cell>
          <cell r="D184" t="str">
            <v>ZAINBH_RBT_REPORT</v>
          </cell>
        </row>
        <row r="185">
          <cell r="B185" t="str">
            <v>Yes</v>
          </cell>
          <cell r="C185">
            <v>0.47500000000000003</v>
          </cell>
          <cell r="D185" t="str">
            <v>OS RBT Utilization Report</v>
          </cell>
        </row>
        <row r="186">
          <cell r="B186" t="str">
            <v>Yes</v>
          </cell>
          <cell r="C186">
            <v>0.47500000000000003</v>
          </cell>
          <cell r="D186" t="str">
            <v>TS_TonosDeEspera_RBT_Report || Oct-23</v>
          </cell>
        </row>
        <row r="187">
          <cell r="B187" t="str">
            <v>Yes</v>
          </cell>
          <cell r="C187">
            <v>0.47361111111111115</v>
          </cell>
          <cell r="D187" t="str">
            <v>ETISALATUAE_CA_Prism_Report || 04-Oct-23</v>
          </cell>
        </row>
        <row r="188">
          <cell r="B188" t="str">
            <v>Yes</v>
          </cell>
          <cell r="C188">
            <v>0.47291666666666665</v>
          </cell>
          <cell r="D188" t="str">
            <v>EtisalatUAE_CA KPI Report || 04-Oct-23</v>
          </cell>
        </row>
        <row r="189">
          <cell r="B189" t="str">
            <v>Yes</v>
          </cell>
          <cell r="C189">
            <v>0.47222222222222227</v>
          </cell>
          <cell r="D189" t="str">
            <v>STC_Bahrain_Azaan_Base_Report</v>
          </cell>
        </row>
        <row r="190">
          <cell r="B190" t="str">
            <v>Yes</v>
          </cell>
          <cell r="C190">
            <v>0.47222222222222227</v>
          </cell>
          <cell r="D190" t="str">
            <v>ONFONMEDIA_CP_Daily_Report</v>
          </cell>
        </row>
        <row r="191">
          <cell r="B191" t="str">
            <v>Yes</v>
          </cell>
          <cell r="C191">
            <v>0.47222222222222227</v>
          </cell>
          <cell r="D191" t="str">
            <v>Telenor_Atom_Myanmar_Daily_Winners_Report</v>
          </cell>
        </row>
        <row r="192">
          <cell r="B192" t="str">
            <v>Yes</v>
          </cell>
          <cell r="C192">
            <v>0.47152777777777777</v>
          </cell>
          <cell r="D192" t="str">
            <v>Lebara KSA CA KPI Report || 04-Oct-23</v>
          </cell>
        </row>
        <row r="193">
          <cell r="B193" t="str">
            <v>Yes</v>
          </cell>
          <cell r="C193">
            <v>0.4694444444444445</v>
          </cell>
          <cell r="D193" t="str">
            <v>Vodacomsa_RBT_Daily_REPORT</v>
          </cell>
        </row>
        <row r="194">
          <cell r="B194" t="str">
            <v>Yes</v>
          </cell>
          <cell r="C194">
            <v>0.46527777777777773</v>
          </cell>
          <cell r="D194" t="str">
            <v>Unitel_IVR_Utilization_Report</v>
          </cell>
        </row>
        <row r="195">
          <cell r="B195" t="str">
            <v>Yes</v>
          </cell>
          <cell r="C195">
            <v>0.46527777777777773</v>
          </cell>
          <cell r="D195" t="str">
            <v>Dialog_Rbt_Content_Dump_Songdownload_Count_Last_30_Days</v>
          </cell>
        </row>
        <row r="196">
          <cell r="B196" t="str">
            <v>Yes</v>
          </cell>
          <cell r="C196">
            <v>0.46527777777777773</v>
          </cell>
          <cell r="D196" t="str">
            <v>Dialog_Rbt_selection_base_report</v>
          </cell>
        </row>
        <row r="197">
          <cell r="B197" t="str">
            <v>Yes</v>
          </cell>
          <cell r="C197">
            <v>0.46527777777777773</v>
          </cell>
          <cell r="D197" t="str">
            <v>Idea_Ibmp_CA_Daily_Report</v>
          </cell>
        </row>
        <row r="198">
          <cell r="B198" t="str">
            <v>Yes</v>
          </cell>
          <cell r="C198">
            <v>0.46527777777777773</v>
          </cell>
          <cell r="D198" t="str">
            <v>Vodafone_Ibmp_CA_Daily_Report</v>
          </cell>
        </row>
        <row r="199">
          <cell r="B199" t="str">
            <v>Yes</v>
          </cell>
          <cell r="C199">
            <v>0.46249999999999997</v>
          </cell>
          <cell r="D199" t="str">
            <v>Jawwal CA Report || 04-Oct-23</v>
          </cell>
        </row>
        <row r="200">
          <cell r="B200" t="str">
            <v>Yes</v>
          </cell>
          <cell r="C200">
            <v>0.46180555555555558</v>
          </cell>
          <cell r="D200" t="str">
            <v>Jawwal CA KPI Report || 04-Oct-23</v>
          </cell>
        </row>
        <row r="201">
          <cell r="B201" t="str">
            <v>Yes</v>
          </cell>
          <cell r="C201">
            <v>0.46111111111111108</v>
          </cell>
          <cell r="D201" t="str">
            <v>Yavoy_RBT_Report</v>
          </cell>
        </row>
        <row r="202">
          <cell r="B202" t="str">
            <v>Yes</v>
          </cell>
          <cell r="C202">
            <v>0.46111111111111108</v>
          </cell>
          <cell r="D202" t="str">
            <v>Yavoy_RBT_Report</v>
          </cell>
        </row>
        <row r="203">
          <cell r="B203" t="str">
            <v>Yes</v>
          </cell>
          <cell r="C203">
            <v>0.4597222222222222</v>
          </cell>
          <cell r="D203" t="str">
            <v>RE: NEW MIS for Dhiraagu (Maldives)</v>
          </cell>
        </row>
        <row r="204">
          <cell r="B204" t="str">
            <v>Yes</v>
          </cell>
          <cell r="C204">
            <v>0.4597222222222222</v>
          </cell>
          <cell r="D204" t="str">
            <v>MIS Report | BKASH_CONTEST_REPORT</v>
          </cell>
        </row>
        <row r="205">
          <cell r="B205" t="str">
            <v>Yes</v>
          </cell>
          <cell r="C205">
            <v>0.45833333333333331</v>
          </cell>
          <cell r="D205" t="str">
            <v>Khalthi_Tournament_Winners_Daily_Report</v>
          </cell>
        </row>
        <row r="206">
          <cell r="B206" t="str">
            <v>Yes</v>
          </cell>
          <cell r="C206">
            <v>0.45833333333333331</v>
          </cell>
          <cell r="D206" t="str">
            <v>MTNAFG_IVR_Utilization</v>
          </cell>
        </row>
        <row r="207">
          <cell r="B207" t="str">
            <v>Yes</v>
          </cell>
          <cell r="C207">
            <v>0.45833333333333331</v>
          </cell>
          <cell r="D207" t="str">
            <v>STC_Bahrain_IVR_Utilization</v>
          </cell>
        </row>
        <row r="208">
          <cell r="B208" t="str">
            <v>Yes</v>
          </cell>
          <cell r="C208">
            <v>0.45833333333333331</v>
          </cell>
          <cell r="D208" t="str">
            <v>VODACOMMZ_IVR_Utilization</v>
          </cell>
        </row>
        <row r="209">
          <cell r="B209" t="str">
            <v>Yes</v>
          </cell>
          <cell r="C209">
            <v>0.45833333333333331</v>
          </cell>
          <cell r="D209" t="str">
            <v>VODACOMSA_IVR_Utilization</v>
          </cell>
        </row>
        <row r="210">
          <cell r="B210" t="str">
            <v>Yes</v>
          </cell>
          <cell r="C210">
            <v>0.45833333333333331</v>
          </cell>
          <cell r="D210" t="str">
            <v>Zainbh_AZAAN_Activation</v>
          </cell>
        </row>
        <row r="211">
          <cell r="B211" t="str">
            <v>Yes</v>
          </cell>
          <cell r="C211">
            <v>0.45833333333333331</v>
          </cell>
          <cell r="D211" t="str">
            <v>VODACOMLS_IVR_Utilization</v>
          </cell>
        </row>
        <row r="212">
          <cell r="B212" t="str">
            <v>Yes</v>
          </cell>
          <cell r="C212">
            <v>0.45833333333333331</v>
          </cell>
          <cell r="D212" t="str">
            <v>AA_Spice_Report</v>
          </cell>
        </row>
        <row r="213">
          <cell r="B213" t="str">
            <v>Yes</v>
          </cell>
          <cell r="C213">
            <v>0.45833333333333331</v>
          </cell>
          <cell r="D213" t="str">
            <v>MTNSA_Daily_Report_Activation_price_changes</v>
          </cell>
        </row>
        <row r="214">
          <cell r="B214" t="str">
            <v>Yes</v>
          </cell>
          <cell r="C214">
            <v>0.45694444444444443</v>
          </cell>
          <cell r="D214" t="str">
            <v>LEBARASA_RBT_REPORT</v>
          </cell>
        </row>
        <row r="215">
          <cell r="B215" t="str">
            <v>Yes</v>
          </cell>
          <cell r="C215">
            <v>0.45555555555555555</v>
          </cell>
          <cell r="D215" t="str">
            <v>Zain Iraq CA KPI Report || 04-Oct-23</v>
          </cell>
        </row>
        <row r="216">
          <cell r="B216" t="str">
            <v>Yes</v>
          </cell>
          <cell r="C216">
            <v>0.45555555555555555</v>
          </cell>
          <cell r="D216" t="str">
            <v>Zain Iraq CA Report || 04-Oct-23</v>
          </cell>
        </row>
        <row r="217">
          <cell r="B217" t="str">
            <v>Yes</v>
          </cell>
          <cell r="C217">
            <v>0.45208333333333334</v>
          </cell>
          <cell r="D217" t="str">
            <v>TS_MIS-Content_Dld</v>
          </cell>
        </row>
        <row r="218">
          <cell r="B218" t="str">
            <v>Yes</v>
          </cell>
          <cell r="C218">
            <v>0.44930555555555557</v>
          </cell>
          <cell r="D218" t="str">
            <v>MTN Afghanistan || MTNAFG_RBT_Revenue_Report || 04-Oct-23</v>
          </cell>
        </row>
        <row r="219">
          <cell r="B219" t="str">
            <v>Yes</v>
          </cell>
          <cell r="C219">
            <v>0.44791666666666669</v>
          </cell>
          <cell r="D219" t="str">
            <v>Create NameTune request Data || MTN Afghanistan || 04-Oct-23</v>
          </cell>
        </row>
        <row r="220">
          <cell r="B220" t="str">
            <v>Yes</v>
          </cell>
          <cell r="C220">
            <v>0.4458333333333333</v>
          </cell>
          <cell r="D220" t="str">
            <v>Dialog_UPRBT_Report</v>
          </cell>
        </row>
        <row r="221">
          <cell r="B221" t="str">
            <v>Yes</v>
          </cell>
          <cell r="C221">
            <v>0.44513888888888892</v>
          </cell>
          <cell r="D221" t="str">
            <v>ONMOGAMES JAZZ Report || 04-Oct-23</v>
          </cell>
        </row>
        <row r="222">
          <cell r="B222" t="str">
            <v>Yes</v>
          </cell>
          <cell r="C222">
            <v>0.44375000000000003</v>
          </cell>
          <cell r="D222" t="str">
            <v>Dialog_Cricket_MIS-Dialog_Cricket_Daily_Report</v>
          </cell>
        </row>
        <row r="223">
          <cell r="B223" t="str">
            <v>Yes</v>
          </cell>
          <cell r="C223">
            <v>0.44305555555555554</v>
          </cell>
          <cell r="D223" t="str">
            <v>DIALOG CA Games KPI_Report</v>
          </cell>
        </row>
        <row r="224">
          <cell r="B224" t="str">
            <v>Yes</v>
          </cell>
          <cell r="C224">
            <v>0.44305555555555554</v>
          </cell>
          <cell r="D224" t="str">
            <v>TELKOMSACA Report || Oct-23</v>
          </cell>
        </row>
        <row r="225">
          <cell r="B225" t="str">
            <v>Yes</v>
          </cell>
          <cell r="C225">
            <v>0.44305555555555554</v>
          </cell>
          <cell r="D225" t="str">
            <v>Nagad_Unipin_Report</v>
          </cell>
        </row>
        <row r="226">
          <cell r="B226" t="str">
            <v>Yes</v>
          </cell>
          <cell r="C226">
            <v>0.44236111111111115</v>
          </cell>
          <cell r="D226" t="str">
            <v>MTNSA CA Report || Oct-23</v>
          </cell>
        </row>
        <row r="227">
          <cell r="B227" t="str">
            <v>Yes</v>
          </cell>
          <cell r="C227">
            <v>0.44097222222222227</v>
          </cell>
          <cell r="D227" t="str">
            <v>Banglalink_Gamize_Report || Oct-2023</v>
          </cell>
        </row>
        <row r="228">
          <cell r="B228" t="str">
            <v>Yes</v>
          </cell>
          <cell r="C228">
            <v>0.44097222222222227</v>
          </cell>
          <cell r="D228" t="str">
            <v>VFES_KidsPlanet_Daily_Subscription || Oct-23</v>
          </cell>
        </row>
        <row r="229">
          <cell r="B229" t="str">
            <v>Yes</v>
          </cell>
          <cell r="C229">
            <v>0.44097222222222227</v>
          </cell>
          <cell r="D229" t="str">
            <v>MTNSA Challenge Arena Digital Report || Oct-23</v>
          </cell>
        </row>
        <row r="230">
          <cell r="B230" t="str">
            <v>Yes</v>
          </cell>
          <cell r="C230">
            <v>0.44097222222222227</v>
          </cell>
          <cell r="D230" t="str">
            <v>VFQatar ONMO Daily Report || Oct-2023</v>
          </cell>
        </row>
        <row r="231">
          <cell r="B231" t="str">
            <v>Yes</v>
          </cell>
          <cell r="C231">
            <v>0.43888888888888888</v>
          </cell>
          <cell r="D231" t="str">
            <v>Bkash_CA_Fundesh_Prism_Report || 04-Oct-23</v>
          </cell>
        </row>
        <row r="232">
          <cell r="B232" t="str">
            <v>Yes</v>
          </cell>
          <cell r="C232">
            <v>0.4381944444444445</v>
          </cell>
          <cell r="D232" t="str">
            <v>CA_FUNDESH_KPI_REPORT - BKASH || Oct-23</v>
          </cell>
        </row>
        <row r="233">
          <cell r="B233" t="str">
            <v>Yes</v>
          </cell>
          <cell r="C233">
            <v>0.4375</v>
          </cell>
          <cell r="D233" t="str">
            <v>Banglalink_Gamification_Report</v>
          </cell>
        </row>
        <row r="234">
          <cell r="B234" t="str">
            <v>Yes</v>
          </cell>
          <cell r="C234">
            <v>0.4375</v>
          </cell>
          <cell r="D234" t="str">
            <v>Unitel-Angola TP Utilization Weekly Report</v>
          </cell>
        </row>
        <row r="235">
          <cell r="B235" t="str">
            <v>Yes</v>
          </cell>
          <cell r="C235">
            <v>0.4375</v>
          </cell>
          <cell r="D235" t="str">
            <v>Sfcom_Gratification</v>
          </cell>
        </row>
        <row r="236">
          <cell r="B236" t="str">
            <v>Yes</v>
          </cell>
          <cell r="C236">
            <v>0.4375</v>
          </cell>
          <cell r="D236" t="str">
            <v>Unitel_Msearch_missing_daily_report</v>
          </cell>
        </row>
        <row r="237">
          <cell r="B237" t="str">
            <v>Yes</v>
          </cell>
          <cell r="C237">
            <v>0.43402777777777773</v>
          </cell>
          <cell r="D237" t="str">
            <v>Dialog_PRBT_UPRBT_Daily_Report</v>
          </cell>
        </row>
        <row r="238">
          <cell r="B238" t="str">
            <v>Yes</v>
          </cell>
          <cell r="C238">
            <v>0.43402777777777773</v>
          </cell>
          <cell r="D238" t="str">
            <v>ZainBH || Third_party_CP_Report || 04-Oct-23</v>
          </cell>
        </row>
        <row r="239">
          <cell r="B239" t="str">
            <v>Yes</v>
          </cell>
          <cell r="C239">
            <v>0.43402777777777773</v>
          </cell>
          <cell r="D239" t="str">
            <v>ZAIN_BAHRAIN_SMS_Subscription_Report || Oct-23</v>
          </cell>
        </row>
        <row r="240">
          <cell r="B240" t="str">
            <v>Yes</v>
          </cell>
          <cell r="C240">
            <v>0.43124999999999997</v>
          </cell>
          <cell r="D240" t="str">
            <v>Dialog_RBT_Daily_Report</v>
          </cell>
        </row>
        <row r="241">
          <cell r="B241" t="str">
            <v>Yes</v>
          </cell>
          <cell r="C241">
            <v>0.42986111111111108</v>
          </cell>
          <cell r="D241" t="str">
            <v>Lebara KSA CA Report || 04-Oct-23</v>
          </cell>
        </row>
        <row r="242">
          <cell r="B242" t="str">
            <v>Yes</v>
          </cell>
          <cell r="C242">
            <v>0.4291666666666667</v>
          </cell>
          <cell r="D242" t="str">
            <v>ocade_daily_report</v>
          </cell>
        </row>
        <row r="243">
          <cell r="B243" t="str">
            <v>Yes</v>
          </cell>
          <cell r="C243">
            <v>0.42777777777777781</v>
          </cell>
          <cell r="D243" t="str">
            <v>Orange_Spain_RBT_Performance_Report</v>
          </cell>
        </row>
        <row r="244">
          <cell r="B244" t="str">
            <v>Yes</v>
          </cell>
          <cell r="C244">
            <v>0.42777777777777781</v>
          </cell>
          <cell r="D244" t="str">
            <v>ORG_SPN_Content_Data</v>
          </cell>
        </row>
        <row r="245">
          <cell r="B245" t="str">
            <v>Yes</v>
          </cell>
          <cell r="C245">
            <v>0.42777777777777781</v>
          </cell>
          <cell r="D245" t="str">
            <v>ORG_SPN_Immediate_Churn</v>
          </cell>
        </row>
        <row r="246">
          <cell r="B246" t="str">
            <v>Yes</v>
          </cell>
          <cell r="C246">
            <v>0.42777777777777781</v>
          </cell>
          <cell r="D246" t="str">
            <v>Orange_Spain_RBT_Performance_Report</v>
          </cell>
        </row>
        <row r="247">
          <cell r="B247" t="str">
            <v>Yes</v>
          </cell>
          <cell r="C247">
            <v>0.42777777777777781</v>
          </cell>
          <cell r="D247" t="str">
            <v>Dialog_Onmo_Report || Oct-2023</v>
          </cell>
        </row>
        <row r="248">
          <cell r="B248" t="str">
            <v>Yes</v>
          </cell>
          <cell r="C248">
            <v>0.42638888888888887</v>
          </cell>
          <cell r="D248" t="str">
            <v>SFCOM Challenge Arena Digital Report || 04-Oct-23</v>
          </cell>
        </row>
        <row r="249">
          <cell r="B249" t="str">
            <v>Yes</v>
          </cell>
          <cell r="C249">
            <v>0.42430555555555555</v>
          </cell>
          <cell r="D249" t="str">
            <v>TrueMove_Challenge_Arena_Report || Oct-2023</v>
          </cell>
        </row>
        <row r="250">
          <cell r="B250" t="str">
            <v>Yes</v>
          </cell>
          <cell r="C250">
            <v>0.42430555555555555</v>
          </cell>
          <cell r="D250" t="str">
            <v>VODACOMTANZANIA CA Report.xlsb || Oct-2023</v>
          </cell>
        </row>
        <row r="251">
          <cell r="B251" t="str">
            <v>Yes</v>
          </cell>
          <cell r="C251">
            <v>0.42430555555555555</v>
          </cell>
          <cell r="D251" t="str">
            <v>VFQatar Challenge Arena Digital Report || 04-Oct-23</v>
          </cell>
        </row>
        <row r="252">
          <cell r="B252" t="str">
            <v>Yes</v>
          </cell>
          <cell r="C252">
            <v>0.42430555555555555</v>
          </cell>
          <cell r="D252" t="str">
            <v>Vi_Games_Revenue_Report || Oct-2023</v>
          </cell>
        </row>
        <row r="253">
          <cell r="B253" t="str">
            <v>Yes</v>
          </cell>
          <cell r="C253">
            <v>0.4236111111111111</v>
          </cell>
          <cell r="D253" t="str">
            <v>STC_Bahrain_RBT_Activation_Report_of_Mode_PRESS1</v>
          </cell>
        </row>
        <row r="254">
          <cell r="B254" t="str">
            <v>Yes</v>
          </cell>
          <cell r="C254">
            <v>0.4236111111111111</v>
          </cell>
          <cell r="D254" t="str">
            <v>ZB_SMS_Subscription_Active_Base_Report</v>
          </cell>
        </row>
        <row r="255">
          <cell r="B255" t="str">
            <v>Yes</v>
          </cell>
          <cell r="C255">
            <v>0.4236111111111111</v>
          </cell>
          <cell r="D255" t="str">
            <v>BKAS_CA_CONTEST_ACTIVEBASE</v>
          </cell>
        </row>
        <row r="256">
          <cell r="B256" t="str">
            <v>Yes</v>
          </cell>
          <cell r="C256">
            <v>0.4236111111111111</v>
          </cell>
          <cell r="D256" t="str">
            <v>MTNAFG_RBT_UPGRADE_Report</v>
          </cell>
        </row>
        <row r="257">
          <cell r="B257" t="str">
            <v>Yes</v>
          </cell>
          <cell r="C257">
            <v>0.4236111111111111</v>
          </cell>
          <cell r="D257" t="str">
            <v>Vodacomsa_RBT_Active_base_Report</v>
          </cell>
        </row>
        <row r="258">
          <cell r="B258" t="str">
            <v>Yes</v>
          </cell>
          <cell r="C258">
            <v>0.4236111111111111</v>
          </cell>
          <cell r="D258" t="str">
            <v>VFQatar CA Report || 04-Oct-23</v>
          </cell>
        </row>
        <row r="259">
          <cell r="B259" t="str">
            <v>Yes</v>
          </cell>
          <cell r="C259">
            <v>0.42222222222222222</v>
          </cell>
          <cell r="D259" t="str">
            <v>MTNGHANA CA Report || Oct-23</v>
          </cell>
        </row>
        <row r="260">
          <cell r="B260" t="str">
            <v>Yes</v>
          </cell>
          <cell r="C260">
            <v>0.42152777777777778</v>
          </cell>
          <cell r="D260" t="str">
            <v>Banglalink_Games_Report || Oct-2023</v>
          </cell>
        </row>
        <row r="261">
          <cell r="B261" t="str">
            <v>Yes</v>
          </cell>
          <cell r="C261">
            <v>0.42152777777777778</v>
          </cell>
          <cell r="D261" t="str">
            <v>AT-Airtel_Utilization_Report</v>
          </cell>
        </row>
        <row r="262">
          <cell r="B262" t="str">
            <v>Yes</v>
          </cell>
          <cell r="C262">
            <v>0.42152777777777778</v>
          </cell>
          <cell r="D262" t="str">
            <v>Zain BH CA Report || 04-Oct-23</v>
          </cell>
        </row>
        <row r="263">
          <cell r="B263" t="str">
            <v>Yes</v>
          </cell>
          <cell r="C263">
            <v>0.42152777777777778</v>
          </cell>
          <cell r="D263" t="str">
            <v>Zain BH CA KPI Report || 04-Oct-23</v>
          </cell>
        </row>
        <row r="264">
          <cell r="B264" t="str">
            <v>Yes</v>
          </cell>
          <cell r="C264">
            <v>0.42083333333333334</v>
          </cell>
          <cell r="D264" t="str">
            <v>ZAINBH_CONTEST_REPORT || 04-Oct-23</v>
          </cell>
        </row>
        <row r="265">
          <cell r="B265" t="str">
            <v>Yes</v>
          </cell>
          <cell r="C265">
            <v>0.41944444444444445</v>
          </cell>
          <cell r="D265" t="str">
            <v>MY-Celcom_CA_KPI_Report</v>
          </cell>
        </row>
        <row r="266">
          <cell r="B266" t="str">
            <v>Yes</v>
          </cell>
          <cell r="C266">
            <v>0.41875000000000001</v>
          </cell>
          <cell r="D266" t="str">
            <v>Bkash_Report</v>
          </cell>
        </row>
        <row r="267">
          <cell r="B267" t="str">
            <v>Yes</v>
          </cell>
          <cell r="C267">
            <v>0.41875000000000001</v>
          </cell>
          <cell r="D267" t="str">
            <v>Ocade_CA_Report || Oct-2023</v>
          </cell>
        </row>
        <row r="268">
          <cell r="B268" t="str">
            <v>Yes</v>
          </cell>
          <cell r="C268">
            <v>0.41875000000000001</v>
          </cell>
          <cell r="D268" t="str">
            <v>Bkash_Report</v>
          </cell>
        </row>
        <row r="269">
          <cell r="B269" t="str">
            <v>Yes</v>
          </cell>
          <cell r="C269">
            <v>0.41875000000000001</v>
          </cell>
          <cell r="D269" t="str">
            <v>STC_BAHRAIN ::Consolidated_Revenue_Tracker ||Oct-23</v>
          </cell>
        </row>
        <row r="270">
          <cell r="B270" t="str">
            <v>Yes</v>
          </cell>
          <cell r="C270">
            <v>0.41736111111111113</v>
          </cell>
          <cell r="D270" t="str">
            <v>TRUEMOVE Games Report  || Oct-2023</v>
          </cell>
        </row>
        <row r="271">
          <cell r="B271" t="str">
            <v>Yes</v>
          </cell>
          <cell r="C271">
            <v>0.41666666666666669</v>
          </cell>
          <cell r="D271" t="str">
            <v>ZB_Tone_Player_Utilization_Report</v>
          </cell>
        </row>
        <row r="272">
          <cell r="B272" t="str">
            <v>Yes</v>
          </cell>
          <cell r="C272">
            <v>0.41666666666666669</v>
          </cell>
          <cell r="D272" t="str">
            <v>Dialog_Challenge_Arena_Report || Oct-2023</v>
          </cell>
        </row>
        <row r="273">
          <cell r="B273" t="str">
            <v>Yes</v>
          </cell>
          <cell r="C273">
            <v>0.41666666666666669</v>
          </cell>
          <cell r="D273" t="str">
            <v>Ocade_Daily_Pack_Cumm_UU_Report</v>
          </cell>
        </row>
        <row r="274">
          <cell r="B274" t="str">
            <v>Yes</v>
          </cell>
          <cell r="C274">
            <v>0.41666666666666669</v>
          </cell>
          <cell r="D274" t="str">
            <v>VIL_CDMS_CDR_log_voda</v>
          </cell>
        </row>
        <row r="275">
          <cell r="B275" t="str">
            <v>Yes</v>
          </cell>
          <cell r="C275">
            <v>0.41666666666666669</v>
          </cell>
          <cell r="D275" t="str">
            <v>VIL_CDMS_CDR_log_idea</v>
          </cell>
        </row>
        <row r="276">
          <cell r="B276" t="str">
            <v>Yes</v>
          </cell>
          <cell r="C276">
            <v>0.41666666666666669</v>
          </cell>
          <cell r="D276" t="str">
            <v>Daily transaction report : Inherited traditional sports 98989</v>
          </cell>
        </row>
        <row r="277">
          <cell r="B277" t="str">
            <v>Yes</v>
          </cell>
          <cell r="C277">
            <v>0.41666666666666669</v>
          </cell>
          <cell r="D277" t="str">
            <v>Nagad_Submgr</v>
          </cell>
        </row>
        <row r="278">
          <cell r="B278" t="str">
            <v>Yes</v>
          </cell>
          <cell r="C278">
            <v>0.41666666666666669</v>
          </cell>
          <cell r="D278" t="str">
            <v>Ocade_CA_Daily_winners_Report</v>
          </cell>
        </row>
        <row r="279">
          <cell r="B279" t="str">
            <v>Yes</v>
          </cell>
          <cell r="C279">
            <v>0.41666666666666669</v>
          </cell>
          <cell r="D279" t="str">
            <v>Ocade_Tournament_winners_Report</v>
          </cell>
        </row>
        <row r="280">
          <cell r="B280" t="str">
            <v>Yes</v>
          </cell>
          <cell r="C280">
            <v>0.4145833333333333</v>
          </cell>
          <cell r="D280" t="str">
            <v>NAGADBD_Report</v>
          </cell>
        </row>
        <row r="281">
          <cell r="B281" t="str">
            <v>Yes</v>
          </cell>
          <cell r="C281">
            <v>0.4145833333333333</v>
          </cell>
          <cell r="D281" t="str">
            <v>NAGADBD_Report</v>
          </cell>
        </row>
        <row r="282">
          <cell r="B282" t="str">
            <v>Yes</v>
          </cell>
          <cell r="C282">
            <v>0.41041666666666665</v>
          </cell>
          <cell r="D282" t="str">
            <v>Ocade_CA_Games_Report || Oct-2023</v>
          </cell>
        </row>
        <row r="283">
          <cell r="B283" t="str">
            <v>Yes</v>
          </cell>
          <cell r="C283">
            <v>0.40972222222222227</v>
          </cell>
          <cell r="D283" t="str">
            <v>STC_Tone_Player_Utilization_Report</v>
          </cell>
        </row>
        <row r="284">
          <cell r="B284" t="str">
            <v>Yes</v>
          </cell>
          <cell r="C284">
            <v>0.40972222222222227</v>
          </cell>
          <cell r="D284" t="str">
            <v>ROBIBD_RBT_Active_Base</v>
          </cell>
        </row>
        <row r="285">
          <cell r="B285" t="str">
            <v>Yes</v>
          </cell>
          <cell r="C285">
            <v>0.4069444444444445</v>
          </cell>
          <cell r="D285" t="str">
            <v>KHALTI_CA_Report || Oct-2023</v>
          </cell>
        </row>
        <row r="286">
          <cell r="B286" t="str">
            <v>Yes</v>
          </cell>
          <cell r="C286">
            <v>0.40625</v>
          </cell>
          <cell r="D286" t="str">
            <v>Idea_Voda_Bundle_ISMS_Base</v>
          </cell>
        </row>
        <row r="287">
          <cell r="B287" t="str">
            <v>Yes</v>
          </cell>
          <cell r="C287">
            <v>0.40416666666666662</v>
          </cell>
          <cell r="D287" t="str">
            <v>ROBIBD_Challenge_Arena_Internal_Report || Oct-2023</v>
          </cell>
        </row>
        <row r="288">
          <cell r="B288" t="str">
            <v>Yes</v>
          </cell>
          <cell r="C288">
            <v>0.40277777777777773</v>
          </cell>
          <cell r="D288" t="str">
            <v>Vi_CT_App-Firebase_Report</v>
          </cell>
        </row>
        <row r="289">
          <cell r="B289" t="str">
            <v>Yes</v>
          </cell>
          <cell r="C289">
            <v>0.40277777777777773</v>
          </cell>
          <cell r="D289" t="str">
            <v>AIRTEL_WARID_RBT_Active_Base</v>
          </cell>
        </row>
        <row r="290">
          <cell r="B290" t="str">
            <v>Yes</v>
          </cell>
          <cell r="C290">
            <v>0.40277777777777773</v>
          </cell>
          <cell r="D290" t="str">
            <v>AT-Airtel_IN_Revenue_Report</v>
          </cell>
        </row>
        <row r="291">
          <cell r="B291" t="str">
            <v>Yes</v>
          </cell>
          <cell r="C291">
            <v>0.39999999999999997</v>
          </cell>
          <cell r="D291" t="str">
            <v>DIALOG Challenge Arena Digital Report || 04-Oct-23</v>
          </cell>
        </row>
        <row r="292">
          <cell r="B292" t="str">
            <v>Yes</v>
          </cell>
          <cell r="C292">
            <v>0.39652777777777781</v>
          </cell>
          <cell r="D292" t="str">
            <v>OML_DAU_99_PACK_NEW_REPEAT_USER</v>
          </cell>
        </row>
        <row r="293">
          <cell r="B293" t="str">
            <v>Yes</v>
          </cell>
          <cell r="C293">
            <v>0.39583333333333331</v>
          </cell>
          <cell r="D293" t="str">
            <v>OML_99_PACK_NEW_REPEAT_USER</v>
          </cell>
        </row>
        <row r="294">
          <cell r="B294" t="str">
            <v>Yes</v>
          </cell>
          <cell r="C294">
            <v>0.39583333333333331</v>
          </cell>
          <cell r="D294" t="str">
            <v>ViGames_PlayedData</v>
          </cell>
        </row>
        <row r="295">
          <cell r="B295" t="str">
            <v>Yes</v>
          </cell>
          <cell r="C295">
            <v>0.39583333333333331</v>
          </cell>
          <cell r="D295" t="str">
            <v>Airtel_RBT_Toneplayer_Utilization_Report</v>
          </cell>
        </row>
        <row r="296">
          <cell r="B296" t="str">
            <v>Yes</v>
          </cell>
          <cell r="C296">
            <v>0.39583333333333331</v>
          </cell>
          <cell r="D296" t="str">
            <v>Ocade_Events_Data</v>
          </cell>
        </row>
        <row r="297">
          <cell r="B297" t="str">
            <v>Yes</v>
          </cell>
          <cell r="C297">
            <v>0.39583333333333331</v>
          </cell>
          <cell r="D297" t="str">
            <v>VD-Vodafone_India_Charging_Percentage_Allmodereport</v>
          </cell>
        </row>
        <row r="298">
          <cell r="B298" t="str">
            <v>Yes</v>
          </cell>
          <cell r="C298">
            <v>0.39583333333333331</v>
          </cell>
          <cell r="D298" t="str">
            <v>VD- RBT_Excel_Report_with_Base</v>
          </cell>
        </row>
        <row r="299">
          <cell r="B299" t="str">
            <v>Yes</v>
          </cell>
          <cell r="C299">
            <v>0.39374999999999999</v>
          </cell>
          <cell r="D299" t="str">
            <v>TIGOTANZANIA CA KPI Report || 04-Oct-23</v>
          </cell>
        </row>
        <row r="300">
          <cell r="B300" t="str">
            <v>Yes</v>
          </cell>
          <cell r="C300">
            <v>0.3888888888888889</v>
          </cell>
          <cell r="D300" t="str">
            <v>Free_CT_MNP_Data-Vodafone</v>
          </cell>
        </row>
        <row r="301">
          <cell r="B301" t="str">
            <v>Yes</v>
          </cell>
          <cell r="C301">
            <v>0.3888888888888889</v>
          </cell>
          <cell r="D301" t="str">
            <v>Ocade_Gratification_Data</v>
          </cell>
        </row>
        <row r="302">
          <cell r="B302" t="str">
            <v>Yes</v>
          </cell>
          <cell r="C302">
            <v>0.3888888888888889</v>
          </cell>
          <cell r="D302" t="str">
            <v>Dialog_Umobilemy_Revenue_Report  || Oct-23</v>
          </cell>
        </row>
        <row r="303">
          <cell r="B303" t="str">
            <v>Yes</v>
          </cell>
          <cell r="C303">
            <v>0.38750000000000001</v>
          </cell>
          <cell r="D303" t="str">
            <v>Asia_Global_Revene_Report  || Oct-23</v>
          </cell>
        </row>
        <row r="304">
          <cell r="B304" t="str">
            <v>Yes</v>
          </cell>
          <cell r="C304">
            <v>0.38680555555555557</v>
          </cell>
          <cell r="D304" t="str">
            <v>SFCOM CA Report || 04-Oct-23</v>
          </cell>
        </row>
        <row r="305">
          <cell r="B305" t="str">
            <v>Yes</v>
          </cell>
          <cell r="C305">
            <v>0.38541666666666669</v>
          </cell>
          <cell r="D305" t="str">
            <v>Vodafone &amp; Idea CRBT KPI Report</v>
          </cell>
        </row>
        <row r="306">
          <cell r="B306" t="str">
            <v>Yes</v>
          </cell>
          <cell r="C306">
            <v>0.38263888888888892</v>
          </cell>
          <cell r="D306" t="str">
            <v>EthioTelecom CA Report || Oct-23</v>
          </cell>
        </row>
        <row r="307">
          <cell r="B307" t="str">
            <v>Yes</v>
          </cell>
          <cell r="C307">
            <v>0.38263888888888892</v>
          </cell>
          <cell r="D307" t="str">
            <v>MTNZAMBIA CA Report || 04-Oct-23</v>
          </cell>
        </row>
        <row r="308">
          <cell r="B308" t="str">
            <v>Yes</v>
          </cell>
          <cell r="C308">
            <v>0.38194444444444442</v>
          </cell>
          <cell r="D308" t="str">
            <v>Banglalink_Events_Data</v>
          </cell>
        </row>
        <row r="309">
          <cell r="B309" t="str">
            <v>Yes</v>
          </cell>
          <cell r="C309">
            <v>0.38194444444444442</v>
          </cell>
          <cell r="D309" t="str">
            <v>ROBIBD_KPI_Report</v>
          </cell>
        </row>
        <row r="310">
          <cell r="B310" t="str">
            <v>Yes</v>
          </cell>
          <cell r="C310">
            <v>0.38194444444444442</v>
          </cell>
          <cell r="D310" t="str">
            <v>BSNL_DUMP_${DATE.yyyyMMdd}</v>
          </cell>
        </row>
        <row r="311">
          <cell r="B311" t="str">
            <v>Yes</v>
          </cell>
          <cell r="C311">
            <v>0.37986111111111115</v>
          </cell>
          <cell r="D311" t="str">
            <v>ROBIBD_RBT_Report</v>
          </cell>
        </row>
        <row r="312">
          <cell r="B312" t="str">
            <v>Yes</v>
          </cell>
          <cell r="C312">
            <v>0.37986111111111115</v>
          </cell>
          <cell r="D312" t="str">
            <v>Vi_Games_Report || Oct-2023</v>
          </cell>
        </row>
        <row r="313">
          <cell r="B313" t="str">
            <v>Yes</v>
          </cell>
          <cell r="C313">
            <v>0.37847222222222227</v>
          </cell>
          <cell r="D313" t="str">
            <v>TIGOTANZANIA CA Report || 04-Oct-23</v>
          </cell>
        </row>
        <row r="314">
          <cell r="B314" t="str">
            <v>Yes</v>
          </cell>
          <cell r="C314">
            <v>0.3756944444444445</v>
          </cell>
          <cell r="D314" t="str">
            <v>BKASH_Submgr_Data</v>
          </cell>
        </row>
        <row r="315">
          <cell r="B315" t="str">
            <v>Yes</v>
          </cell>
          <cell r="C315">
            <v>0.3756944444444445</v>
          </cell>
          <cell r="D315" t="str">
            <v>MTNSA_ONMO_Report || Oct-2023</v>
          </cell>
        </row>
        <row r="316">
          <cell r="B316" t="str">
            <v>Yes</v>
          </cell>
          <cell r="C316">
            <v>0.375</v>
          </cell>
          <cell r="D316" t="str">
            <v>GP_XRBT_MR_Revenue_Report</v>
          </cell>
        </row>
        <row r="317">
          <cell r="B317" t="str">
            <v>Yes</v>
          </cell>
          <cell r="C317">
            <v>0.375</v>
          </cell>
          <cell r="D317" t="str">
            <v>MNP - Free Callertune ( OBD Prepaid )</v>
          </cell>
        </row>
        <row r="318">
          <cell r="B318" t="str">
            <v>Yes</v>
          </cell>
          <cell r="C318">
            <v>0.375</v>
          </cell>
          <cell r="D318" t="str">
            <v>Sfcom_Mega_Contest</v>
          </cell>
        </row>
        <row r="319">
          <cell r="B319" t="str">
            <v>Yes</v>
          </cell>
          <cell r="C319">
            <v>0.375</v>
          </cell>
          <cell r="D319" t="str">
            <v>Banglalink_Gratification_Data</v>
          </cell>
        </row>
        <row r="320">
          <cell r="B320" t="str">
            <v>Yes</v>
          </cell>
          <cell r="C320">
            <v>0.375</v>
          </cell>
          <cell r="D320" t="str">
            <v>MTNAFG_TLOG_BILLING_${DATE.yyyyMMdd}</v>
          </cell>
        </row>
        <row r="321">
          <cell r="B321" t="str">
            <v>Yes</v>
          </cell>
          <cell r="C321">
            <v>0.37361111111111112</v>
          </cell>
          <cell r="D321" t="str">
            <v>MTNIVORYCOASTCA Report || Oct-23</v>
          </cell>
        </row>
        <row r="322">
          <cell r="B322" t="str">
            <v>Yes</v>
          </cell>
          <cell r="C322">
            <v>0.37291666666666662</v>
          </cell>
          <cell r="D322" t="str">
            <v>MTNNIGERIA CA KPI Report || Oct-23</v>
          </cell>
        </row>
        <row r="323">
          <cell r="B323" t="str">
            <v>Yes</v>
          </cell>
          <cell r="C323">
            <v>0.37222222222222223</v>
          </cell>
          <cell r="D323" t="str">
            <v>MTNNIGERIA CA Report || Oct-23</v>
          </cell>
        </row>
        <row r="324">
          <cell r="B324" t="str">
            <v>Yes</v>
          </cell>
          <cell r="C324">
            <v>0.37222222222222223</v>
          </cell>
          <cell r="D324" t="str">
            <v>Atom_Challenge_Arena_Report || Oct-2023</v>
          </cell>
        </row>
        <row r="325">
          <cell r="B325" t="str">
            <v>Yes</v>
          </cell>
          <cell r="C325">
            <v>0.36944444444444446</v>
          </cell>
          <cell r="D325" t="str">
            <v>SFCOMKEN ONMO Daily Report || 04-Oct-23</v>
          </cell>
        </row>
        <row r="326">
          <cell r="B326" t="str">
            <v>Yes</v>
          </cell>
          <cell r="C326">
            <v>0.36944444444444446</v>
          </cell>
          <cell r="D326" t="str">
            <v>AIRTEL_RBT_RRBT_Report</v>
          </cell>
        </row>
        <row r="327">
          <cell r="B327" t="str">
            <v>Yes</v>
          </cell>
          <cell r="C327">
            <v>0.36805555555555558</v>
          </cell>
          <cell r="D327" t="str">
            <v>Banglalink_MyBL_AmarTune_KPI_Report</v>
          </cell>
        </row>
        <row r="328">
          <cell r="B328" t="str">
            <v>Yes</v>
          </cell>
          <cell r="C328">
            <v>0.36736111111111108</v>
          </cell>
          <cell r="D328" t="str">
            <v>VD-PrismHosted_Report</v>
          </cell>
        </row>
        <row r="329">
          <cell r="B329" t="str">
            <v>Yes</v>
          </cell>
          <cell r="C329">
            <v>0.36527777777777781</v>
          </cell>
          <cell r="D329" t="str">
            <v>CELLCARD_KPI_Reports</v>
          </cell>
        </row>
        <row r="330">
          <cell r="B330" t="str">
            <v>Yes</v>
          </cell>
          <cell r="C330">
            <v>0.36458333333333331</v>
          </cell>
          <cell r="D330" t="str">
            <v>BSNL_CA_REPORT</v>
          </cell>
        </row>
        <row r="331">
          <cell r="B331" t="str">
            <v>Yes</v>
          </cell>
          <cell r="C331">
            <v>0.36458333333333331</v>
          </cell>
          <cell r="D331" t="str">
            <v>UNITELANGOLA CA Report || Oct-23</v>
          </cell>
        </row>
        <row r="332">
          <cell r="B332" t="str">
            <v>Yes</v>
          </cell>
          <cell r="C332">
            <v>0.36180555555555555</v>
          </cell>
          <cell r="D332" t="str">
            <v>Telenor_KPI_Report</v>
          </cell>
        </row>
        <row r="333">
          <cell r="B333" t="str">
            <v>Yes</v>
          </cell>
          <cell r="C333">
            <v>0.35833333333333334</v>
          </cell>
          <cell r="D333" t="str">
            <v>SFCOM Mega Contest Report || Oct-23</v>
          </cell>
        </row>
        <row r="334">
          <cell r="B334" t="str">
            <v>Yes</v>
          </cell>
          <cell r="C334">
            <v>0.35555555555555557</v>
          </cell>
          <cell r="D334" t="str">
            <v>BSNL_RBT_DETAILED_REPORTS</v>
          </cell>
        </row>
        <row r="335">
          <cell r="B335" t="str">
            <v>Yes</v>
          </cell>
          <cell r="C335">
            <v>0.35416666666666669</v>
          </cell>
          <cell r="D335" t="str">
            <v>Banglalink_Gaming_Leaderboard_Daily_Report</v>
          </cell>
        </row>
        <row r="336">
          <cell r="B336" t="str">
            <v>Yes</v>
          </cell>
          <cell r="C336">
            <v>0.35416666666666669</v>
          </cell>
          <cell r="D336" t="str">
            <v>BL_Gaming_MAU_Game_Played_Daily</v>
          </cell>
        </row>
        <row r="337">
          <cell r="B337" t="str">
            <v>Yes</v>
          </cell>
          <cell r="C337">
            <v>0.35416666666666669</v>
          </cell>
          <cell r="D337" t="str">
            <v>BL_Gaming_MAU_Game_Played</v>
          </cell>
        </row>
        <row r="338">
          <cell r="B338" t="str">
            <v>Yes</v>
          </cell>
          <cell r="C338">
            <v>0.35138888888888892</v>
          </cell>
          <cell r="D338" t="str">
            <v>HUTCHSL_CA_Report || Oct-2023</v>
          </cell>
        </row>
        <row r="339">
          <cell r="B339" t="str">
            <v>Yes</v>
          </cell>
          <cell r="C339">
            <v>0.34861111111111115</v>
          </cell>
          <cell r="D339" t="str">
            <v>AIRTELNIGERIA CA Report || Oct-23</v>
          </cell>
        </row>
        <row r="340">
          <cell r="B340" t="str">
            <v>Yes</v>
          </cell>
          <cell r="C340">
            <v>0.34861111111111115</v>
          </cell>
          <cell r="D340" t="str">
            <v>Ethiotel ONMO Report || Oct-23</v>
          </cell>
        </row>
        <row r="341">
          <cell r="B341" t="str">
            <v>Yes</v>
          </cell>
          <cell r="C341">
            <v>0.34861111111111115</v>
          </cell>
          <cell r="D341" t="str">
            <v>BSNL_RBT_STV_Report</v>
          </cell>
        </row>
        <row r="342">
          <cell r="B342" t="str">
            <v>Yes</v>
          </cell>
          <cell r="C342">
            <v>0.34722222222222227</v>
          </cell>
          <cell r="D342" t="str">
            <v>MyBL_Game_played_report</v>
          </cell>
        </row>
        <row r="343">
          <cell r="B343" t="str">
            <v>Yes</v>
          </cell>
          <cell r="C343">
            <v>0.34722222222222227</v>
          </cell>
          <cell r="D343" t="str">
            <v>CELCOM Challenge Arena Digital Report || 04-Oct-23</v>
          </cell>
        </row>
        <row r="344">
          <cell r="B344" t="str">
            <v>Yes</v>
          </cell>
          <cell r="C344">
            <v>0.3444444444444445</v>
          </cell>
          <cell r="D344" t="str">
            <v>AIS_Onmo_Report || Oct-2023</v>
          </cell>
        </row>
        <row r="345">
          <cell r="B345" t="str">
            <v>Yes</v>
          </cell>
          <cell r="C345">
            <v>0.34236111111111112</v>
          </cell>
          <cell r="D345" t="str">
            <v>Smartfren_CA_Daily_Report || Oct-2023</v>
          </cell>
        </row>
        <row r="346">
          <cell r="B346" t="str">
            <v>Yes</v>
          </cell>
          <cell r="C346">
            <v>0.34027777777777773</v>
          </cell>
          <cell r="D346" t="str">
            <v>RBT Export to Excel - One97</v>
          </cell>
        </row>
        <row r="347">
          <cell r="B347" t="str">
            <v>Yes</v>
          </cell>
          <cell r="C347">
            <v>0.34027777777777773</v>
          </cell>
          <cell r="D347" t="str">
            <v>Banglalink_Gaming_KPI_Report</v>
          </cell>
        </row>
        <row r="348">
          <cell r="B348" t="str">
            <v>Yes</v>
          </cell>
          <cell r="C348">
            <v>0.34027777777777773</v>
          </cell>
          <cell r="D348" t="str">
            <v>BL_Content_Access_Report</v>
          </cell>
        </row>
        <row r="349">
          <cell r="B349" t="str">
            <v>Yes</v>
          </cell>
          <cell r="C349">
            <v>0.33680555555555558</v>
          </cell>
          <cell r="D349" t="str">
            <v>BSNL_last7daysActivation</v>
          </cell>
        </row>
        <row r="350">
          <cell r="B350" t="str">
            <v>Yes</v>
          </cell>
          <cell r="C350">
            <v>0.33611111111111108</v>
          </cell>
          <cell r="D350" t="str">
            <v>DTAC_CA_Report || Oct-2023</v>
          </cell>
        </row>
        <row r="351">
          <cell r="B351" t="str">
            <v>Yes</v>
          </cell>
          <cell r="C351">
            <v>0.33402777777777781</v>
          </cell>
          <cell r="D351" t="str">
            <v>MTNCAMEROONCA Report || Oct-23</v>
          </cell>
        </row>
        <row r="352">
          <cell r="B352" t="str">
            <v>Yes</v>
          </cell>
          <cell r="C352">
            <v>0.33402777777777781</v>
          </cell>
          <cell r="D352" t="str">
            <v>Celcom_Challenge_Arena_Report || Oct-2023</v>
          </cell>
        </row>
        <row r="353">
          <cell r="B353" t="str">
            <v>Yes</v>
          </cell>
          <cell r="C353">
            <v>0.33333333333333331</v>
          </cell>
          <cell r="D353" t="str">
            <v>MSEARCH Report</v>
          </cell>
        </row>
        <row r="354">
          <cell r="B354" t="str">
            <v>Yes</v>
          </cell>
          <cell r="C354">
            <v>0.33333333333333331</v>
          </cell>
          <cell r="D354" t="str">
            <v>Sfcom_Winners_List</v>
          </cell>
        </row>
        <row r="355">
          <cell r="B355" t="str">
            <v>Yes</v>
          </cell>
          <cell r="C355">
            <v>0.33194444444444443</v>
          </cell>
          <cell r="D355" t="str">
            <v>Cellcard_CA_Client_Report</v>
          </cell>
        </row>
        <row r="356">
          <cell r="B356" t="str">
            <v>Yes</v>
          </cell>
          <cell r="C356">
            <v>0.33055555555555555</v>
          </cell>
          <cell r="D356" t="str">
            <v>AIS CA Report || Oct-2023</v>
          </cell>
        </row>
        <row r="357">
          <cell r="B357" t="str">
            <v>Yes</v>
          </cell>
          <cell r="C357">
            <v>0.32708333333333334</v>
          </cell>
          <cell r="D357" t="str">
            <v>AIS KPI Report || Oct-2023</v>
          </cell>
        </row>
        <row r="358">
          <cell r="B358" t="str">
            <v>Yes</v>
          </cell>
          <cell r="C358">
            <v>0.30555555555555552</v>
          </cell>
          <cell r="D358" t="str">
            <v>AT-Airtel_Wynk_MIS_Report</v>
          </cell>
        </row>
        <row r="359">
          <cell r="B359" t="str">
            <v>Yes</v>
          </cell>
          <cell r="C359">
            <v>0.29166666666666669</v>
          </cell>
          <cell r="D359" t="str">
            <v>Safaricom Quiz</v>
          </cell>
        </row>
        <row r="360">
          <cell r="B360" t="str">
            <v>Yes</v>
          </cell>
          <cell r="C360">
            <v>0.28888888888888892</v>
          </cell>
          <cell r="D360" t="str">
            <v>Cellcard_ONMO+CA_Report || Oct-2023</v>
          </cell>
        </row>
        <row r="361">
          <cell r="B361" t="str">
            <v>Yes</v>
          </cell>
          <cell r="C361">
            <v>5.2777777777777778E-2</v>
          </cell>
          <cell r="D361" t="str">
            <v>SLA-MIS-GMIS_OPS_NOVA_SLA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pped_Report"/>
      <sheetName val="Home"/>
      <sheetName val="Remote_Sites"/>
      <sheetName val="All_Mails"/>
      <sheetName val="Mail_Check"/>
    </sheetNames>
    <sheetDataSet>
      <sheetData sheetId="0" refreshError="1"/>
      <sheetData sheetId="1" refreshError="1">
        <row r="1">
          <cell r="B1">
            <v>45092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G20"/>
  <sheetViews>
    <sheetView showGridLines="0" showRowColHeaders="0" zoomScale="140" zoomScaleNormal="140" workbookViewId="0">
      <selection activeCell="B1" sqref="B1"/>
    </sheetView>
  </sheetViews>
  <sheetFormatPr defaultColWidth="0" defaultRowHeight="15" zeroHeight="1"/>
  <cols>
    <col min="1" max="1" width="19.42578125" bestFit="1" customWidth="1"/>
    <col min="2" max="2" width="23.28515625" bestFit="1" customWidth="1"/>
    <col min="3" max="3" width="1.42578125" hidden="1" customWidth="1"/>
    <col min="4" max="4" width="2.85546875" hidden="1" customWidth="1"/>
    <col min="5" max="5" width="66.5703125" customWidth="1"/>
    <col min="6" max="6" width="20.85546875" customWidth="1"/>
    <col min="7" max="7" width="5.7109375" customWidth="1"/>
    <col min="8" max="16384" width="9.140625" hidden="1"/>
  </cols>
  <sheetData>
    <row r="1" spans="1:7">
      <c r="A1" s="1" t="s">
        <v>0</v>
      </c>
      <c r="B1" s="2">
        <f ca="1">TODAY()</f>
        <v>45762</v>
      </c>
      <c r="F1" s="5" t="s">
        <v>1</v>
      </c>
      <c r="G1" s="6" t="s">
        <v>14</v>
      </c>
    </row>
    <row r="2" spans="1:7">
      <c r="F2" s="5"/>
      <c r="G2" s="5"/>
    </row>
    <row r="3" spans="1:7">
      <c r="F3" s="5"/>
      <c r="G3" s="5"/>
    </row>
    <row r="4" spans="1:7">
      <c r="F4" s="5"/>
      <c r="G4" s="5"/>
    </row>
    <row r="5" spans="1:7" ht="11.25" customHeight="1">
      <c r="F5" s="5"/>
      <c r="G5" s="5"/>
    </row>
    <row r="6" spans="1:7" ht="33" customHeight="1">
      <c r="F6" s="5"/>
      <c r="G6" s="5"/>
    </row>
    <row r="7" spans="1:7" ht="15.75" thickBot="1">
      <c r="F7" s="5"/>
      <c r="G7" s="5"/>
    </row>
    <row r="8" spans="1:7" ht="33" customHeight="1" thickBot="1">
      <c r="E8" s="3" t="s">
        <v>425</v>
      </c>
      <c r="F8" s="5"/>
      <c r="G8" s="5"/>
    </row>
    <row r="9" spans="1:7">
      <c r="F9" s="5"/>
      <c r="G9" s="5"/>
    </row>
    <row r="10" spans="1:7" ht="15.75" thickBot="1">
      <c r="F10" s="5"/>
      <c r="G10" s="5"/>
    </row>
    <row r="11" spans="1:7" ht="33" customHeight="1" thickBot="1">
      <c r="E11" s="3"/>
      <c r="F11" s="5"/>
      <c r="G11" s="5"/>
    </row>
    <row r="12" spans="1:7"/>
    <row r="13" spans="1:7"/>
    <row r="14" spans="1:7"/>
    <row r="15" spans="1:7"/>
    <row r="16" spans="1:7">
      <c r="E16" s="4"/>
    </row>
    <row r="17" spans="5:5">
      <c r="E17" s="4"/>
    </row>
    <row r="18" spans="5:5"/>
    <row r="19" spans="5:5"/>
    <row r="20" spans="5:5"/>
  </sheetData>
  <sheetProtection sheet="1" objects="1" scenarios="1" selectLockedCells="1"/>
  <dataValidations count="1">
    <dataValidation type="list" allowBlank="1" showInputMessage="1" showErrorMessage="1" sqref="G1:G4" xr:uid="{00000000-0002-0000-0000-000000000000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_Browse_Dest">
          <controlPr defaultSize="0" autoLine="0" r:id="rId5">
            <anchor moveWithCells="1">
              <from>
                <xdr:col>5</xdr:col>
                <xdr:colOff>142875</xdr:colOff>
                <xdr:row>10</xdr:row>
                <xdr:rowOff>57150</xdr:rowOff>
              </from>
              <to>
                <xdr:col>5</xdr:col>
                <xdr:colOff>1266825</xdr:colOff>
                <xdr:row>10</xdr:row>
                <xdr:rowOff>361950</xdr:rowOff>
              </to>
            </anchor>
          </controlPr>
        </control>
      </mc:Choice>
      <mc:Fallback>
        <control shapeId="3077" r:id="rId4" name="cmd_Browse_Dest"/>
      </mc:Fallback>
    </mc:AlternateContent>
    <mc:AlternateContent xmlns:mc="http://schemas.openxmlformats.org/markup-compatibility/2006">
      <mc:Choice Requires="x14">
        <control shapeId="3073" r:id="rId6" name="cmd_browse">
          <controlPr defaultSize="0" autoLine="0" r:id="rId7">
            <anchor moveWithCells="1">
              <from>
                <xdr:col>5</xdr:col>
                <xdr:colOff>142875</xdr:colOff>
                <xdr:row>7</xdr:row>
                <xdr:rowOff>38100</xdr:rowOff>
              </from>
              <to>
                <xdr:col>5</xdr:col>
                <xdr:colOff>1266825</xdr:colOff>
                <xdr:row>7</xdr:row>
                <xdr:rowOff>342900</xdr:rowOff>
              </to>
            </anchor>
          </controlPr>
        </control>
      </mc:Choice>
      <mc:Fallback>
        <control shapeId="3073" r:id="rId6" name="cmd_browse"/>
      </mc:Fallback>
    </mc:AlternateContent>
    <mc:AlternateContent xmlns:mc="http://schemas.openxmlformats.org/markup-compatibility/2006">
      <mc:Choice Requires="x14">
        <control shapeId="3075" r:id="rId8" name="cmd_run">
          <controlPr autoLine="0" r:id="rId9">
            <anchor moveWithCells="1">
              <from>
                <xdr:col>4</xdr:col>
                <xdr:colOff>733425</xdr:colOff>
                <xdr:row>0</xdr:row>
                <xdr:rowOff>47625</xdr:rowOff>
              </from>
              <to>
                <xdr:col>4</xdr:col>
                <xdr:colOff>3381375</xdr:colOff>
                <xdr:row>1</xdr:row>
                <xdr:rowOff>171450</xdr:rowOff>
              </to>
            </anchor>
          </controlPr>
        </control>
      </mc:Choice>
      <mc:Fallback>
        <control shapeId="3075" r:id="rId8" name="cmd_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4"/>
  <sheetViews>
    <sheetView workbookViewId="0">
      <selection activeCell="B2" sqref="B2"/>
    </sheetView>
  </sheetViews>
  <sheetFormatPr defaultRowHeight="15"/>
  <cols>
    <col min="1" max="1" width="11.7109375" bestFit="1" customWidth="1"/>
    <col min="2" max="2" width="14.140625" bestFit="1" customWidth="1"/>
    <col min="3" max="3" width="4.7109375" bestFit="1" customWidth="1"/>
    <col min="4" max="4" width="5.28515625" bestFit="1" customWidth="1"/>
    <col min="5" max="5" width="19.7109375" bestFit="1" customWidth="1"/>
    <col min="6" max="6" width="10.28515625" bestFit="1" customWidth="1"/>
    <col min="7" max="7" width="22.5703125" style="8" bestFit="1" customWidth="1"/>
    <col min="8" max="8" width="14.5703125" bestFit="1" customWidth="1"/>
    <col min="9" max="9" width="55.7109375" bestFit="1" customWidth="1"/>
  </cols>
  <sheetData>
    <row r="1" spans="1:9">
      <c r="A1" s="10" t="s">
        <v>23</v>
      </c>
      <c r="B1" s="10" t="s">
        <v>24</v>
      </c>
      <c r="C1" s="10" t="s">
        <v>25</v>
      </c>
      <c r="D1" s="10" t="s">
        <v>31</v>
      </c>
      <c r="E1" s="10" t="s">
        <v>15</v>
      </c>
      <c r="F1" s="10" t="s">
        <v>26</v>
      </c>
      <c r="G1" s="10" t="s">
        <v>36</v>
      </c>
      <c r="H1" s="10" t="s">
        <v>34</v>
      </c>
      <c r="I1" s="10" t="s">
        <v>35</v>
      </c>
    </row>
    <row r="2" spans="1:9">
      <c r="A2" s="9" t="s">
        <v>32</v>
      </c>
      <c r="B2" s="9" t="s">
        <v>30</v>
      </c>
      <c r="C2" s="9">
        <v>22</v>
      </c>
      <c r="D2" s="9" t="s">
        <v>29</v>
      </c>
      <c r="E2" s="9" t="s">
        <v>42</v>
      </c>
      <c r="F2" s="9" t="s">
        <v>28</v>
      </c>
      <c r="G2" s="9" t="s">
        <v>43</v>
      </c>
      <c r="H2" s="9" t="s">
        <v>40</v>
      </c>
      <c r="I2" s="9" t="s">
        <v>44</v>
      </c>
    </row>
    <row r="3" spans="1:9">
      <c r="A3" s="9" t="s">
        <v>32</v>
      </c>
      <c r="B3" s="9" t="s">
        <v>33</v>
      </c>
      <c r="C3" s="9">
        <v>22</v>
      </c>
      <c r="D3" s="9" t="s">
        <v>29</v>
      </c>
      <c r="E3" s="9" t="s">
        <v>48</v>
      </c>
      <c r="F3" s="9" t="s">
        <v>28</v>
      </c>
      <c r="G3" s="9" t="s">
        <v>37</v>
      </c>
      <c r="H3" s="9" t="s">
        <v>45</v>
      </c>
      <c r="I3" s="9" t="s">
        <v>46</v>
      </c>
    </row>
    <row r="4" spans="1:9">
      <c r="A4" s="9" t="s">
        <v>32</v>
      </c>
      <c r="B4" s="9" t="s">
        <v>27</v>
      </c>
      <c r="C4" s="9">
        <v>22</v>
      </c>
      <c r="D4" s="9" t="s">
        <v>29</v>
      </c>
      <c r="E4" s="9" t="s">
        <v>39</v>
      </c>
      <c r="F4" s="9" t="s">
        <v>28</v>
      </c>
      <c r="G4" s="9" t="s">
        <v>38</v>
      </c>
      <c r="H4" s="9" t="s">
        <v>40</v>
      </c>
      <c r="I4" s="9" t="s">
        <v>41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41"/>
  <sheetViews>
    <sheetView topLeftCell="B457" workbookViewId="0">
      <selection activeCell="D468" sqref="D468"/>
    </sheetView>
  </sheetViews>
  <sheetFormatPr defaultRowHeight="15"/>
  <cols>
    <col min="1" max="1" width="13.42578125" bestFit="1" customWidth="1"/>
    <col min="2" max="2" width="10.7109375" bestFit="1" customWidth="1"/>
    <col min="3" max="3" width="5.5703125" bestFit="1" customWidth="1"/>
    <col min="4" max="4" width="50.7109375" customWidth="1"/>
    <col min="5" max="5" width="15.5703125" bestFit="1" customWidth="1"/>
    <col min="6" max="6" width="12.140625" bestFit="1" customWidth="1"/>
    <col min="7" max="8" width="50.7109375" customWidth="1"/>
  </cols>
  <sheetData>
    <row r="1" spans="1:8">
      <c r="A1" t="s">
        <v>7</v>
      </c>
      <c r="B1" t="s">
        <v>17</v>
      </c>
      <c r="C1" t="s">
        <v>8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>
      <c r="A2">
        <v>2</v>
      </c>
      <c r="B2" t="s">
        <v>14</v>
      </c>
      <c r="C2" s="64">
        <v>0.50277777777777777</v>
      </c>
      <c r="D2" t="s">
        <v>763</v>
      </c>
      <c r="E2" s="65">
        <v>45762.503217592595</v>
      </c>
      <c r="F2" t="s">
        <v>289</v>
      </c>
      <c r="G2" t="s">
        <v>764</v>
      </c>
      <c r="H2" t="s">
        <v>765</v>
      </c>
    </row>
    <row r="3" spans="1:8">
      <c r="A3">
        <v>1</v>
      </c>
      <c r="B3" t="s">
        <v>14</v>
      </c>
      <c r="C3" s="64">
        <v>0.50069444444444444</v>
      </c>
      <c r="D3" t="s">
        <v>766</v>
      </c>
      <c r="E3" s="65">
        <v>45762.500798611109</v>
      </c>
      <c r="F3" t="s">
        <v>289</v>
      </c>
      <c r="G3" t="s">
        <v>767</v>
      </c>
      <c r="H3" t="s">
        <v>294</v>
      </c>
    </row>
    <row r="4" spans="1:8">
      <c r="A4">
        <v>0</v>
      </c>
      <c r="B4" t="s">
        <v>14</v>
      </c>
      <c r="C4" s="64">
        <v>0.5</v>
      </c>
      <c r="D4" t="s">
        <v>768</v>
      </c>
      <c r="E4" s="65">
        <v>45762.500590277778</v>
      </c>
      <c r="F4" t="s">
        <v>289</v>
      </c>
      <c r="G4" t="s">
        <v>304</v>
      </c>
      <c r="H4" t="s">
        <v>291</v>
      </c>
    </row>
    <row r="5" spans="1:8">
      <c r="A5">
        <v>2</v>
      </c>
      <c r="B5" t="s">
        <v>14</v>
      </c>
      <c r="C5" s="64">
        <v>0.4993055555555555</v>
      </c>
      <c r="D5" t="s">
        <v>769</v>
      </c>
      <c r="E5" s="65">
        <v>45762.499305555553</v>
      </c>
      <c r="F5" t="s">
        <v>289</v>
      </c>
      <c r="G5" t="s">
        <v>756</v>
      </c>
      <c r="H5" t="s">
        <v>295</v>
      </c>
    </row>
    <row r="6" spans="1:8">
      <c r="A6">
        <v>1</v>
      </c>
      <c r="B6" t="s">
        <v>14</v>
      </c>
      <c r="C6" s="64">
        <v>0.49861111111111112</v>
      </c>
      <c r="D6" t="s">
        <v>770</v>
      </c>
      <c r="E6" s="65">
        <v>45762.498680555553</v>
      </c>
      <c r="F6" t="s">
        <v>289</v>
      </c>
      <c r="G6" t="s">
        <v>771</v>
      </c>
      <c r="H6" t="s">
        <v>290</v>
      </c>
    </row>
    <row r="7" spans="1:8">
      <c r="A7">
        <v>2</v>
      </c>
      <c r="B7" t="s">
        <v>14</v>
      </c>
      <c r="C7" s="64">
        <v>0.49791666666666662</v>
      </c>
      <c r="D7" t="s">
        <v>772</v>
      </c>
      <c r="E7" s="65">
        <v>45762.497916666667</v>
      </c>
      <c r="F7" t="s">
        <v>289</v>
      </c>
      <c r="G7" t="s">
        <v>773</v>
      </c>
      <c r="H7" t="s">
        <v>329</v>
      </c>
    </row>
    <row r="8" spans="1:8">
      <c r="A8">
        <v>2</v>
      </c>
      <c r="B8" t="s">
        <v>14</v>
      </c>
      <c r="C8" s="64">
        <v>0.49722222222222223</v>
      </c>
      <c r="D8" t="s">
        <v>816</v>
      </c>
      <c r="E8" s="65">
        <v>45762.497627314813</v>
      </c>
      <c r="F8" t="s">
        <v>289</v>
      </c>
      <c r="G8" t="s">
        <v>497</v>
      </c>
      <c r="H8" t="s">
        <v>777</v>
      </c>
    </row>
    <row r="9" spans="1:8">
      <c r="A9">
        <v>1</v>
      </c>
      <c r="B9" t="s">
        <v>14</v>
      </c>
      <c r="C9" s="64">
        <v>0.49722222222222223</v>
      </c>
      <c r="D9" t="s">
        <v>774</v>
      </c>
      <c r="E9" s="65">
        <v>45762.497384259259</v>
      </c>
      <c r="F9" t="s">
        <v>289</v>
      </c>
      <c r="G9" t="s">
        <v>775</v>
      </c>
      <c r="H9" t="s">
        <v>776</v>
      </c>
    </row>
    <row r="10" spans="1:8">
      <c r="A10">
        <v>2</v>
      </c>
      <c r="B10" t="s">
        <v>14</v>
      </c>
      <c r="C10" s="64">
        <v>0.49652777777777773</v>
      </c>
      <c r="D10" t="s">
        <v>778</v>
      </c>
      <c r="E10" s="65">
        <v>45762.496828703705</v>
      </c>
      <c r="F10" t="s">
        <v>289</v>
      </c>
      <c r="G10" t="s">
        <v>779</v>
      </c>
      <c r="H10" t="s">
        <v>290</v>
      </c>
    </row>
    <row r="11" spans="1:8">
      <c r="A11">
        <v>1</v>
      </c>
      <c r="B11" t="s">
        <v>14</v>
      </c>
      <c r="C11" s="64">
        <v>0.49652777777777773</v>
      </c>
      <c r="D11" t="s">
        <v>780</v>
      </c>
      <c r="E11" s="65">
        <v>45762.496840277781</v>
      </c>
      <c r="F11" t="s">
        <v>289</v>
      </c>
      <c r="G11" t="s">
        <v>781</v>
      </c>
      <c r="H11" t="s">
        <v>290</v>
      </c>
    </row>
    <row r="12" spans="1:8">
      <c r="A12">
        <v>2</v>
      </c>
      <c r="B12" t="s">
        <v>14</v>
      </c>
      <c r="C12" s="64">
        <v>0.49583333333333335</v>
      </c>
      <c r="D12" t="s">
        <v>782</v>
      </c>
      <c r="E12" s="65">
        <v>45762.495763888888</v>
      </c>
      <c r="F12" t="s">
        <v>289</v>
      </c>
      <c r="G12" t="s">
        <v>783</v>
      </c>
      <c r="H12" t="s">
        <v>784</v>
      </c>
    </row>
    <row r="13" spans="1:8">
      <c r="A13">
        <v>1</v>
      </c>
      <c r="B13" t="s">
        <v>14</v>
      </c>
      <c r="C13" s="64">
        <v>0.49513888888888885</v>
      </c>
      <c r="D13" t="s">
        <v>785</v>
      </c>
      <c r="E13" s="65">
        <v>45762.495428240742</v>
      </c>
      <c r="F13" t="s">
        <v>289</v>
      </c>
      <c r="G13" t="s">
        <v>786</v>
      </c>
      <c r="H13" t="s">
        <v>291</v>
      </c>
    </row>
    <row r="14" spans="1:8">
      <c r="A14">
        <v>1</v>
      </c>
      <c r="B14" t="s">
        <v>14</v>
      </c>
      <c r="C14" s="64">
        <v>0.49374999999999997</v>
      </c>
      <c r="D14" t="s">
        <v>787</v>
      </c>
      <c r="E14" s="65">
        <v>45762.493738425925</v>
      </c>
      <c r="F14" t="s">
        <v>289</v>
      </c>
      <c r="G14" s="66" t="s">
        <v>788</v>
      </c>
      <c r="H14" t="s">
        <v>291</v>
      </c>
    </row>
    <row r="15" spans="1:8">
      <c r="A15">
        <v>1</v>
      </c>
      <c r="B15" t="s">
        <v>14</v>
      </c>
      <c r="C15" s="64">
        <v>0.49305555555555558</v>
      </c>
      <c r="D15" t="s">
        <v>817</v>
      </c>
      <c r="E15" s="65">
        <v>45762.49324074074</v>
      </c>
      <c r="F15" t="s">
        <v>289</v>
      </c>
      <c r="G15" t="s">
        <v>791</v>
      </c>
      <c r="H15" t="s">
        <v>291</v>
      </c>
    </row>
    <row r="16" spans="1:8">
      <c r="A16">
        <v>0</v>
      </c>
      <c r="B16" t="s">
        <v>14</v>
      </c>
      <c r="C16" s="64">
        <v>0.49305555555555558</v>
      </c>
      <c r="D16" t="s">
        <v>789</v>
      </c>
      <c r="E16" s="65">
        <v>45762.493136574078</v>
      </c>
      <c r="F16" t="s">
        <v>289</v>
      </c>
      <c r="G16" t="s">
        <v>790</v>
      </c>
      <c r="H16" t="s">
        <v>291</v>
      </c>
    </row>
    <row r="17" spans="1:8">
      <c r="A17">
        <v>2</v>
      </c>
      <c r="B17" t="s">
        <v>14</v>
      </c>
      <c r="C17" s="64">
        <v>0.4916666666666667</v>
      </c>
      <c r="D17" t="s">
        <v>792</v>
      </c>
      <c r="E17" s="65">
        <v>45762.491909722223</v>
      </c>
      <c r="F17" t="s">
        <v>289</v>
      </c>
      <c r="G17" t="s">
        <v>793</v>
      </c>
      <c r="H17" t="s">
        <v>293</v>
      </c>
    </row>
    <row r="18" spans="1:8">
      <c r="A18">
        <v>1</v>
      </c>
      <c r="B18" t="s">
        <v>14</v>
      </c>
      <c r="C18" s="64">
        <v>0.4916666666666667</v>
      </c>
      <c r="D18" t="s">
        <v>794</v>
      </c>
      <c r="E18" s="65">
        <v>45762.491759259261</v>
      </c>
      <c r="F18" t="s">
        <v>289</v>
      </c>
      <c r="G18" t="s">
        <v>795</v>
      </c>
      <c r="H18" t="s">
        <v>765</v>
      </c>
    </row>
    <row r="19" spans="1:8">
      <c r="A19">
        <v>2</v>
      </c>
      <c r="B19" t="s">
        <v>14</v>
      </c>
      <c r="C19" s="64">
        <v>0.48749999999999999</v>
      </c>
      <c r="D19" t="s">
        <v>680</v>
      </c>
      <c r="E19" s="65">
        <v>45762.487650462965</v>
      </c>
      <c r="F19" t="s">
        <v>289</v>
      </c>
      <c r="G19" t="s">
        <v>497</v>
      </c>
      <c r="H19" t="s">
        <v>681</v>
      </c>
    </row>
    <row r="20" spans="1:8">
      <c r="A20">
        <v>2</v>
      </c>
      <c r="B20" t="s">
        <v>14</v>
      </c>
      <c r="C20" s="64">
        <v>0.48680555555555555</v>
      </c>
      <c r="D20" t="s">
        <v>448</v>
      </c>
      <c r="E20" s="65">
        <v>45762.487013888887</v>
      </c>
      <c r="F20" t="s">
        <v>289</v>
      </c>
      <c r="G20" t="s">
        <v>449</v>
      </c>
      <c r="H20" t="s">
        <v>291</v>
      </c>
    </row>
    <row r="21" spans="1:8">
      <c r="A21">
        <v>0</v>
      </c>
      <c r="B21" t="s">
        <v>14</v>
      </c>
      <c r="C21" s="64">
        <v>0.4861111111111111</v>
      </c>
      <c r="D21" t="s">
        <v>450</v>
      </c>
      <c r="E21" s="65">
        <v>45762.486180555556</v>
      </c>
      <c r="F21" t="s">
        <v>289</v>
      </c>
      <c r="G21" t="s">
        <v>451</v>
      </c>
      <c r="H21" t="s">
        <v>291</v>
      </c>
    </row>
    <row r="22" spans="1:8">
      <c r="A22">
        <v>2</v>
      </c>
      <c r="B22" t="s">
        <v>14</v>
      </c>
      <c r="C22" s="64">
        <v>0.48472222222222222</v>
      </c>
      <c r="D22" t="s">
        <v>682</v>
      </c>
      <c r="E22" s="65">
        <v>45762.485000000001</v>
      </c>
      <c r="F22" t="s">
        <v>289</v>
      </c>
      <c r="G22" t="s">
        <v>447</v>
      </c>
      <c r="H22" t="s">
        <v>683</v>
      </c>
    </row>
    <row r="23" spans="1:8">
      <c r="A23">
        <v>1</v>
      </c>
      <c r="B23" t="s">
        <v>14</v>
      </c>
      <c r="C23" s="64">
        <v>0.48055555555555557</v>
      </c>
      <c r="D23" t="s">
        <v>453</v>
      </c>
      <c r="E23" s="65">
        <v>45762.481168981481</v>
      </c>
      <c r="F23" t="s">
        <v>289</v>
      </c>
      <c r="G23" t="s">
        <v>454</v>
      </c>
      <c r="H23" t="s">
        <v>455</v>
      </c>
    </row>
    <row r="24" spans="1:8">
      <c r="A24">
        <v>2</v>
      </c>
      <c r="B24" t="s">
        <v>14</v>
      </c>
      <c r="C24" s="64">
        <v>0.47986111111111113</v>
      </c>
      <c r="D24" t="s">
        <v>684</v>
      </c>
      <c r="E24" s="65">
        <v>45762.480312500003</v>
      </c>
      <c r="F24" t="s">
        <v>289</v>
      </c>
      <c r="G24" t="s">
        <v>434</v>
      </c>
      <c r="H24" t="s">
        <v>498</v>
      </c>
    </row>
    <row r="25" spans="1:8">
      <c r="A25">
        <v>2</v>
      </c>
      <c r="B25" t="s">
        <v>14</v>
      </c>
      <c r="C25" s="64">
        <v>0.47986111111111113</v>
      </c>
      <c r="D25" t="s">
        <v>685</v>
      </c>
      <c r="E25" s="65">
        <v>45762.480393518519</v>
      </c>
      <c r="F25" t="s">
        <v>289</v>
      </c>
      <c r="G25" t="s">
        <v>452</v>
      </c>
      <c r="H25" t="s">
        <v>293</v>
      </c>
    </row>
    <row r="26" spans="1:8">
      <c r="A26">
        <v>0</v>
      </c>
      <c r="B26" t="s">
        <v>14</v>
      </c>
      <c r="C26" s="64">
        <v>0.47916666666666669</v>
      </c>
      <c r="D26" t="s">
        <v>456</v>
      </c>
      <c r="E26" s="65">
        <v>45762.479456018518</v>
      </c>
      <c r="F26" t="s">
        <v>289</v>
      </c>
      <c r="G26" t="s">
        <v>457</v>
      </c>
      <c r="H26" t="s">
        <v>291</v>
      </c>
    </row>
    <row r="27" spans="1:8">
      <c r="A27">
        <v>2</v>
      </c>
      <c r="B27" t="s">
        <v>14</v>
      </c>
      <c r="C27" s="64">
        <v>0.47847222222222219</v>
      </c>
      <c r="D27" t="s">
        <v>686</v>
      </c>
      <c r="E27" s="65">
        <v>45762.478715277779</v>
      </c>
      <c r="F27" t="s">
        <v>289</v>
      </c>
      <c r="G27" t="s">
        <v>458</v>
      </c>
      <c r="H27" t="s">
        <v>459</v>
      </c>
    </row>
    <row r="28" spans="1:8">
      <c r="A28">
        <v>2</v>
      </c>
      <c r="B28" t="s">
        <v>14</v>
      </c>
      <c r="C28" s="64">
        <v>0.47638888888888892</v>
      </c>
      <c r="D28" t="s">
        <v>499</v>
      </c>
      <c r="E28" s="65">
        <v>45762.476458333331</v>
      </c>
      <c r="F28" t="s">
        <v>289</v>
      </c>
      <c r="G28" t="s">
        <v>500</v>
      </c>
      <c r="H28" t="s">
        <v>291</v>
      </c>
    </row>
    <row r="29" spans="1:8">
      <c r="A29">
        <v>1</v>
      </c>
      <c r="B29" t="s">
        <v>14</v>
      </c>
      <c r="C29" s="64">
        <v>0.47430555555555554</v>
      </c>
      <c r="D29" t="s">
        <v>688</v>
      </c>
      <c r="E29" s="65">
        <v>45762.474861111114</v>
      </c>
      <c r="F29" t="s">
        <v>289</v>
      </c>
      <c r="G29" t="s">
        <v>502</v>
      </c>
      <c r="H29" t="s">
        <v>689</v>
      </c>
    </row>
    <row r="30" spans="1:8">
      <c r="A30">
        <v>1</v>
      </c>
      <c r="B30" t="s">
        <v>14</v>
      </c>
      <c r="C30" s="64">
        <v>0.47430555555555554</v>
      </c>
      <c r="D30" t="s">
        <v>431</v>
      </c>
      <c r="E30" s="65">
        <v>45762.474479166667</v>
      </c>
      <c r="F30" t="s">
        <v>289</v>
      </c>
      <c r="G30" t="s">
        <v>432</v>
      </c>
      <c r="H30" t="s">
        <v>690</v>
      </c>
    </row>
    <row r="31" spans="1:8">
      <c r="A31">
        <v>2</v>
      </c>
      <c r="B31" t="s">
        <v>14</v>
      </c>
      <c r="C31" s="64">
        <v>0.47430555555555554</v>
      </c>
      <c r="D31" t="s">
        <v>687</v>
      </c>
      <c r="E31" s="65">
        <v>45762.474768518521</v>
      </c>
      <c r="F31" t="s">
        <v>289</v>
      </c>
      <c r="G31" t="s">
        <v>542</v>
      </c>
      <c r="H31" t="s">
        <v>293</v>
      </c>
    </row>
    <row r="32" spans="1:8">
      <c r="A32">
        <v>2</v>
      </c>
      <c r="B32" t="s">
        <v>14</v>
      </c>
      <c r="C32" s="64">
        <v>0.47361111111111115</v>
      </c>
      <c r="D32" t="s">
        <v>818</v>
      </c>
      <c r="E32" s="65">
        <v>45762.474004629628</v>
      </c>
      <c r="F32" t="s">
        <v>289</v>
      </c>
      <c r="G32" t="s">
        <v>467</v>
      </c>
      <c r="H32" t="s">
        <v>468</v>
      </c>
    </row>
    <row r="33" spans="1:8">
      <c r="A33">
        <v>2</v>
      </c>
      <c r="B33" t="s">
        <v>14</v>
      </c>
      <c r="C33" s="64">
        <v>0.47291666666666665</v>
      </c>
      <c r="D33" t="s">
        <v>653</v>
      </c>
      <c r="E33" s="65">
        <v>45762.473194444443</v>
      </c>
      <c r="F33" t="s">
        <v>289</v>
      </c>
      <c r="G33" t="s">
        <v>543</v>
      </c>
      <c r="H33" t="s">
        <v>291</v>
      </c>
    </row>
    <row r="34" spans="1:8">
      <c r="A34">
        <v>2</v>
      </c>
      <c r="B34" t="s">
        <v>14</v>
      </c>
      <c r="C34" s="64">
        <v>0.47291666666666665</v>
      </c>
      <c r="D34" t="s">
        <v>819</v>
      </c>
      <c r="E34" s="65">
        <v>45762.473530092589</v>
      </c>
      <c r="F34" t="s">
        <v>289</v>
      </c>
      <c r="G34" t="s">
        <v>820</v>
      </c>
      <c r="H34" t="s">
        <v>293</v>
      </c>
    </row>
    <row r="35" spans="1:8">
      <c r="A35">
        <v>0</v>
      </c>
      <c r="B35" t="s">
        <v>14</v>
      </c>
      <c r="C35" s="64">
        <v>0.47222222222222227</v>
      </c>
      <c r="D35" t="s">
        <v>389</v>
      </c>
      <c r="E35" s="65">
        <v>45762.472291666665</v>
      </c>
      <c r="F35" t="s">
        <v>289</v>
      </c>
      <c r="G35" t="s">
        <v>390</v>
      </c>
      <c r="H35" t="s">
        <v>411</v>
      </c>
    </row>
    <row r="36" spans="1:8">
      <c r="A36">
        <v>0</v>
      </c>
      <c r="B36" t="s">
        <v>14</v>
      </c>
      <c r="C36" s="64">
        <v>0.47222222222222227</v>
      </c>
      <c r="D36" t="s">
        <v>535</v>
      </c>
      <c r="E36" s="65">
        <v>45762.472291666665</v>
      </c>
      <c r="F36" t="s">
        <v>289</v>
      </c>
      <c r="G36" t="s">
        <v>536</v>
      </c>
      <c r="H36" t="s">
        <v>291</v>
      </c>
    </row>
    <row r="37" spans="1:8">
      <c r="A37">
        <v>0</v>
      </c>
      <c r="B37" t="s">
        <v>14</v>
      </c>
      <c r="C37" s="64">
        <v>0.47222222222222227</v>
      </c>
      <c r="D37" t="s">
        <v>391</v>
      </c>
      <c r="E37" s="65">
        <v>45762.472326388888</v>
      </c>
      <c r="F37" t="s">
        <v>289</v>
      </c>
      <c r="G37" t="s">
        <v>534</v>
      </c>
      <c r="H37" t="s">
        <v>691</v>
      </c>
    </row>
    <row r="38" spans="1:8">
      <c r="A38">
        <v>2</v>
      </c>
      <c r="B38" t="s">
        <v>14</v>
      </c>
      <c r="C38" s="64">
        <v>0.47013888888888888</v>
      </c>
      <c r="D38" t="s">
        <v>380</v>
      </c>
      <c r="E38" s="65">
        <v>45762.470173611109</v>
      </c>
      <c r="F38" t="s">
        <v>289</v>
      </c>
      <c r="G38" t="s">
        <v>465</v>
      </c>
      <c r="H38" t="s">
        <v>692</v>
      </c>
    </row>
    <row r="39" spans="1:8">
      <c r="A39">
        <v>2</v>
      </c>
      <c r="B39" t="s">
        <v>14</v>
      </c>
      <c r="C39" s="64">
        <v>0.46666666666666662</v>
      </c>
      <c r="D39" t="s">
        <v>693</v>
      </c>
      <c r="E39" s="65">
        <v>45762.467048611114</v>
      </c>
      <c r="F39" t="s">
        <v>289</v>
      </c>
      <c r="G39" t="s">
        <v>503</v>
      </c>
      <c r="H39" t="s">
        <v>290</v>
      </c>
    </row>
    <row r="40" spans="1:8">
      <c r="A40">
        <v>2</v>
      </c>
      <c r="B40" t="s">
        <v>14</v>
      </c>
      <c r="C40" s="64">
        <v>0.46666666666666662</v>
      </c>
      <c r="D40" t="s">
        <v>821</v>
      </c>
      <c r="E40" s="65">
        <v>45762.466643518521</v>
      </c>
      <c r="F40" t="s">
        <v>289</v>
      </c>
      <c r="G40" t="s">
        <v>504</v>
      </c>
      <c r="H40" t="s">
        <v>679</v>
      </c>
    </row>
    <row r="41" spans="1:8">
      <c r="A41">
        <v>0</v>
      </c>
      <c r="B41" t="s">
        <v>14</v>
      </c>
      <c r="C41" s="64">
        <v>0.46527777777777773</v>
      </c>
      <c r="D41" t="s">
        <v>440</v>
      </c>
      <c r="E41" s="65">
        <v>45762.46534722222</v>
      </c>
      <c r="F41" t="s">
        <v>289</v>
      </c>
      <c r="G41" t="s">
        <v>439</v>
      </c>
      <c r="H41" t="s">
        <v>690</v>
      </c>
    </row>
    <row r="42" spans="1:8">
      <c r="A42">
        <v>0</v>
      </c>
      <c r="B42" t="s">
        <v>14</v>
      </c>
      <c r="C42" s="64">
        <v>0.46527777777777773</v>
      </c>
      <c r="D42" t="s">
        <v>438</v>
      </c>
      <c r="E42" s="65">
        <v>45762.46534722222</v>
      </c>
      <c r="F42" t="s">
        <v>289</v>
      </c>
      <c r="G42" t="s">
        <v>439</v>
      </c>
      <c r="H42" t="s">
        <v>690</v>
      </c>
    </row>
    <row r="43" spans="1:8">
      <c r="A43">
        <v>2</v>
      </c>
      <c r="B43" t="s">
        <v>14</v>
      </c>
      <c r="C43" s="64">
        <v>0.46249999999999997</v>
      </c>
      <c r="D43" t="s">
        <v>668</v>
      </c>
      <c r="E43" s="65">
        <v>45762.462638888886</v>
      </c>
      <c r="F43" t="s">
        <v>289</v>
      </c>
      <c r="G43" s="66" t="s">
        <v>544</v>
      </c>
      <c r="H43" t="s">
        <v>291</v>
      </c>
    </row>
    <row r="44" spans="1:8">
      <c r="A44">
        <v>2</v>
      </c>
      <c r="B44" t="s">
        <v>14</v>
      </c>
      <c r="C44" s="64">
        <v>0.46249999999999997</v>
      </c>
      <c r="D44" t="s">
        <v>694</v>
      </c>
      <c r="E44" s="65">
        <v>45762.462858796294</v>
      </c>
      <c r="F44" t="s">
        <v>289</v>
      </c>
      <c r="G44" t="s">
        <v>460</v>
      </c>
      <c r="H44" t="s">
        <v>461</v>
      </c>
    </row>
    <row r="45" spans="1:8">
      <c r="A45">
        <v>2</v>
      </c>
      <c r="B45" t="s">
        <v>14</v>
      </c>
      <c r="C45" s="64">
        <v>0.46111111111111108</v>
      </c>
      <c r="D45" t="s">
        <v>696</v>
      </c>
      <c r="E45" s="65">
        <v>45762.461087962962</v>
      </c>
      <c r="F45" t="s">
        <v>289</v>
      </c>
      <c r="G45" t="s">
        <v>697</v>
      </c>
      <c r="H45" t="s">
        <v>329</v>
      </c>
    </row>
    <row r="46" spans="1:8">
      <c r="A46">
        <v>2</v>
      </c>
      <c r="B46" t="s">
        <v>14</v>
      </c>
      <c r="C46" s="64">
        <v>0.4604166666666667</v>
      </c>
      <c r="D46" t="s">
        <v>462</v>
      </c>
      <c r="E46" s="65">
        <v>45762.460879629631</v>
      </c>
      <c r="F46" t="s">
        <v>289</v>
      </c>
      <c r="G46" t="s">
        <v>501</v>
      </c>
      <c r="H46" t="s">
        <v>695</v>
      </c>
    </row>
    <row r="47" spans="1:8">
      <c r="A47">
        <v>2</v>
      </c>
      <c r="B47" t="s">
        <v>14</v>
      </c>
      <c r="C47" s="64">
        <v>0.4604166666666667</v>
      </c>
      <c r="D47" t="s">
        <v>462</v>
      </c>
      <c r="E47" s="65">
        <v>45762.460902777777</v>
      </c>
      <c r="F47" t="s">
        <v>289</v>
      </c>
      <c r="G47" t="s">
        <v>463</v>
      </c>
      <c r="H47" t="s">
        <v>464</v>
      </c>
    </row>
    <row r="48" spans="1:8">
      <c r="A48">
        <v>1</v>
      </c>
      <c r="B48" t="s">
        <v>14</v>
      </c>
      <c r="C48" s="64">
        <v>0.4604166666666667</v>
      </c>
      <c r="D48" t="s">
        <v>639</v>
      </c>
      <c r="E48" s="65">
        <v>45762.460219907407</v>
      </c>
      <c r="F48" t="s">
        <v>289</v>
      </c>
      <c r="G48" t="s">
        <v>292</v>
      </c>
      <c r="H48" t="s">
        <v>292</v>
      </c>
    </row>
    <row r="49" spans="1:8">
      <c r="A49">
        <v>1</v>
      </c>
      <c r="B49" t="s">
        <v>14</v>
      </c>
      <c r="C49" s="64">
        <v>0.4597222222222222</v>
      </c>
      <c r="D49" t="s">
        <v>698</v>
      </c>
      <c r="E49" s="65">
        <v>45762.45957175926</v>
      </c>
      <c r="F49" t="s">
        <v>289</v>
      </c>
      <c r="G49" t="s">
        <v>545</v>
      </c>
      <c r="H49" t="s">
        <v>292</v>
      </c>
    </row>
    <row r="50" spans="1:8">
      <c r="A50">
        <v>2</v>
      </c>
      <c r="B50" t="s">
        <v>14</v>
      </c>
      <c r="C50" s="64">
        <v>0.45902777777777781</v>
      </c>
      <c r="D50" t="s">
        <v>699</v>
      </c>
      <c r="E50" s="65">
        <v>45762.459363425929</v>
      </c>
      <c r="F50" t="s">
        <v>289</v>
      </c>
      <c r="G50" t="s">
        <v>546</v>
      </c>
      <c r="H50" t="s">
        <v>293</v>
      </c>
    </row>
    <row r="51" spans="1:8">
      <c r="A51">
        <v>2</v>
      </c>
      <c r="B51" t="s">
        <v>14</v>
      </c>
      <c r="C51" s="64">
        <v>0.45902777777777781</v>
      </c>
      <c r="D51" t="s">
        <v>754</v>
      </c>
      <c r="E51" s="65">
        <v>45762.459108796298</v>
      </c>
      <c r="F51" t="s">
        <v>289</v>
      </c>
      <c r="G51" t="s">
        <v>547</v>
      </c>
      <c r="H51" t="s">
        <v>294</v>
      </c>
    </row>
    <row r="52" spans="1:8">
      <c r="A52">
        <v>1</v>
      </c>
      <c r="B52" t="s">
        <v>14</v>
      </c>
      <c r="C52" s="64">
        <v>0.45902777777777781</v>
      </c>
      <c r="D52" t="s">
        <v>698</v>
      </c>
      <c r="E52" s="65">
        <v>45762.458935185183</v>
      </c>
      <c r="F52" t="s">
        <v>289</v>
      </c>
      <c r="G52" t="s">
        <v>292</v>
      </c>
      <c r="H52" t="s">
        <v>292</v>
      </c>
    </row>
    <row r="53" spans="1:8">
      <c r="A53">
        <v>0</v>
      </c>
      <c r="B53" t="s">
        <v>14</v>
      </c>
      <c r="C53" s="64">
        <v>0.45902777777777781</v>
      </c>
      <c r="D53" t="s">
        <v>394</v>
      </c>
      <c r="E53" s="65">
        <v>45762.459027777775</v>
      </c>
      <c r="F53" t="s">
        <v>289</v>
      </c>
      <c r="G53" t="s">
        <v>436</v>
      </c>
      <c r="H53" t="s">
        <v>291</v>
      </c>
    </row>
    <row r="54" spans="1:8">
      <c r="A54">
        <v>0</v>
      </c>
      <c r="B54" t="s">
        <v>14</v>
      </c>
      <c r="C54" s="64">
        <v>0.45833333333333331</v>
      </c>
      <c r="D54" t="s">
        <v>397</v>
      </c>
      <c r="E54" s="65">
        <v>45762.458553240744</v>
      </c>
      <c r="F54" t="s">
        <v>289</v>
      </c>
      <c r="G54" t="s">
        <v>700</v>
      </c>
      <c r="H54" t="s">
        <v>398</v>
      </c>
    </row>
    <row r="55" spans="1:8">
      <c r="A55">
        <v>0</v>
      </c>
      <c r="B55" t="s">
        <v>14</v>
      </c>
      <c r="C55" s="64">
        <v>0.45833333333333331</v>
      </c>
      <c r="D55" t="s">
        <v>509</v>
      </c>
      <c r="E55" s="65">
        <v>45762.458611111113</v>
      </c>
      <c r="F55" t="s">
        <v>289</v>
      </c>
      <c r="G55" t="s">
        <v>701</v>
      </c>
      <c r="H55" t="s">
        <v>294</v>
      </c>
    </row>
    <row r="56" spans="1:8">
      <c r="A56">
        <v>0</v>
      </c>
      <c r="B56" t="s">
        <v>14</v>
      </c>
      <c r="C56" s="64">
        <v>0.45833333333333331</v>
      </c>
      <c r="D56" t="s">
        <v>510</v>
      </c>
      <c r="E56" s="65">
        <v>45762.458622685182</v>
      </c>
      <c r="F56" t="s">
        <v>289</v>
      </c>
      <c r="G56" t="s">
        <v>701</v>
      </c>
      <c r="H56" t="s">
        <v>294</v>
      </c>
    </row>
    <row r="57" spans="1:8">
      <c r="A57">
        <v>0</v>
      </c>
      <c r="B57" t="s">
        <v>14</v>
      </c>
      <c r="C57" s="64">
        <v>0.45833333333333331</v>
      </c>
      <c r="D57" t="s">
        <v>301</v>
      </c>
      <c r="E57" s="65">
        <v>45762.458668981482</v>
      </c>
      <c r="F57" t="s">
        <v>289</v>
      </c>
      <c r="G57" t="s">
        <v>300</v>
      </c>
      <c r="H57" t="s">
        <v>291</v>
      </c>
    </row>
    <row r="58" spans="1:8">
      <c r="A58">
        <v>0</v>
      </c>
      <c r="B58" t="s">
        <v>14</v>
      </c>
      <c r="C58" s="64">
        <v>0.45833333333333331</v>
      </c>
      <c r="D58" t="s">
        <v>299</v>
      </c>
      <c r="E58" s="65">
        <v>45762.458668981482</v>
      </c>
      <c r="F58" t="s">
        <v>289</v>
      </c>
      <c r="G58" t="s">
        <v>300</v>
      </c>
      <c r="H58" t="s">
        <v>291</v>
      </c>
    </row>
    <row r="59" spans="1:8">
      <c r="A59">
        <v>0</v>
      </c>
      <c r="B59" t="s">
        <v>14</v>
      </c>
      <c r="C59" s="64">
        <v>0.45833333333333331</v>
      </c>
      <c r="D59" t="s">
        <v>402</v>
      </c>
      <c r="E59" s="65">
        <v>45762.458703703705</v>
      </c>
      <c r="F59" t="s">
        <v>289</v>
      </c>
      <c r="G59" t="s">
        <v>298</v>
      </c>
      <c r="H59" t="s">
        <v>403</v>
      </c>
    </row>
    <row r="60" spans="1:8">
      <c r="A60">
        <v>0</v>
      </c>
      <c r="B60" t="s">
        <v>14</v>
      </c>
      <c r="C60" s="64">
        <v>0.45833333333333331</v>
      </c>
      <c r="D60" t="s">
        <v>297</v>
      </c>
      <c r="E60" s="65">
        <v>45762.458738425928</v>
      </c>
      <c r="F60" t="s">
        <v>289</v>
      </c>
      <c r="G60" t="s">
        <v>298</v>
      </c>
      <c r="H60" t="s">
        <v>291</v>
      </c>
    </row>
    <row r="61" spans="1:8">
      <c r="A61">
        <v>0</v>
      </c>
      <c r="B61" t="s">
        <v>14</v>
      </c>
      <c r="C61" s="64">
        <v>0.45833333333333331</v>
      </c>
      <c r="D61" t="s">
        <v>302</v>
      </c>
      <c r="E61" s="65">
        <v>45762.458541666667</v>
      </c>
      <c r="F61" t="s">
        <v>289</v>
      </c>
      <c r="G61" t="s">
        <v>350</v>
      </c>
      <c r="H61" t="s">
        <v>291</v>
      </c>
    </row>
    <row r="62" spans="1:8">
      <c r="A62">
        <v>0</v>
      </c>
      <c r="B62" t="s">
        <v>14</v>
      </c>
      <c r="C62" s="64">
        <v>0.45833333333333331</v>
      </c>
      <c r="D62" t="s">
        <v>399</v>
      </c>
      <c r="E62" s="65">
        <v>45762.458391203705</v>
      </c>
      <c r="F62" t="s">
        <v>289</v>
      </c>
      <c r="G62" t="s">
        <v>702</v>
      </c>
      <c r="H62" t="s">
        <v>295</v>
      </c>
    </row>
    <row r="63" spans="1:8">
      <c r="A63">
        <v>0</v>
      </c>
      <c r="B63" t="s">
        <v>14</v>
      </c>
      <c r="C63" s="64">
        <v>0.45833333333333331</v>
      </c>
      <c r="D63" t="s">
        <v>351</v>
      </c>
      <c r="E63" s="65">
        <v>45762.458402777775</v>
      </c>
      <c r="F63" t="s">
        <v>289</v>
      </c>
      <c r="G63" t="s">
        <v>352</v>
      </c>
      <c r="H63" t="s">
        <v>291</v>
      </c>
    </row>
    <row r="64" spans="1:8">
      <c r="A64">
        <v>0</v>
      </c>
      <c r="B64" t="s">
        <v>14</v>
      </c>
      <c r="C64" s="64">
        <v>0.45833333333333331</v>
      </c>
      <c r="D64" t="s">
        <v>400</v>
      </c>
      <c r="E64" s="65">
        <v>45762.458402777775</v>
      </c>
      <c r="F64" t="s">
        <v>289</v>
      </c>
      <c r="G64" t="s">
        <v>401</v>
      </c>
      <c r="H64" t="s">
        <v>291</v>
      </c>
    </row>
    <row r="65" spans="1:8">
      <c r="A65">
        <v>0</v>
      </c>
      <c r="B65" t="s">
        <v>14</v>
      </c>
      <c r="C65" s="64">
        <v>0.45833333333333331</v>
      </c>
      <c r="D65" t="s">
        <v>395</v>
      </c>
      <c r="E65" s="65">
        <v>45762.458460648151</v>
      </c>
      <c r="F65" t="s">
        <v>289</v>
      </c>
      <c r="G65" t="s">
        <v>396</v>
      </c>
      <c r="H65" t="s">
        <v>291</v>
      </c>
    </row>
    <row r="66" spans="1:8">
      <c r="A66">
        <v>0</v>
      </c>
      <c r="B66" t="s">
        <v>14</v>
      </c>
      <c r="C66" s="64">
        <v>0.45833333333333331</v>
      </c>
      <c r="D66" t="s">
        <v>353</v>
      </c>
      <c r="E66" s="65">
        <v>45762.458483796298</v>
      </c>
      <c r="F66" t="s">
        <v>289</v>
      </c>
      <c r="G66" t="s">
        <v>350</v>
      </c>
      <c r="H66" t="s">
        <v>291</v>
      </c>
    </row>
    <row r="67" spans="1:8">
      <c r="A67">
        <v>2</v>
      </c>
      <c r="B67" t="s">
        <v>14</v>
      </c>
      <c r="C67" s="64">
        <v>0.45694444444444443</v>
      </c>
      <c r="D67" t="s">
        <v>703</v>
      </c>
      <c r="E67" s="65">
        <v>45762.457511574074</v>
      </c>
      <c r="F67" t="s">
        <v>289</v>
      </c>
      <c r="G67" t="s">
        <v>541</v>
      </c>
      <c r="H67" t="s">
        <v>329</v>
      </c>
    </row>
    <row r="68" spans="1:8">
      <c r="A68">
        <v>2</v>
      </c>
      <c r="B68" t="s">
        <v>14</v>
      </c>
      <c r="C68" s="64">
        <v>0.45694444444444443</v>
      </c>
      <c r="D68" t="s">
        <v>760</v>
      </c>
      <c r="E68" s="65">
        <v>45762.457013888888</v>
      </c>
      <c r="F68" t="s">
        <v>289</v>
      </c>
      <c r="G68" t="s">
        <v>761</v>
      </c>
      <c r="H68" t="s">
        <v>762</v>
      </c>
    </row>
    <row r="69" spans="1:8">
      <c r="A69">
        <v>2</v>
      </c>
      <c r="B69" t="s">
        <v>14</v>
      </c>
      <c r="C69" s="64">
        <v>0.45624999999999999</v>
      </c>
      <c r="D69" t="s">
        <v>667</v>
      </c>
      <c r="E69" s="65">
        <v>45762.456307870372</v>
      </c>
      <c r="F69" t="s">
        <v>289</v>
      </c>
      <c r="G69" t="s">
        <v>549</v>
      </c>
      <c r="H69" t="s">
        <v>291</v>
      </c>
    </row>
    <row r="70" spans="1:8">
      <c r="A70">
        <v>2</v>
      </c>
      <c r="B70" t="s">
        <v>14</v>
      </c>
      <c r="C70" s="64">
        <v>0.45624999999999999</v>
      </c>
      <c r="D70" t="s">
        <v>704</v>
      </c>
      <c r="E70" s="65">
        <v>45762.456423611111</v>
      </c>
      <c r="F70" t="s">
        <v>289</v>
      </c>
      <c r="G70" t="s">
        <v>466</v>
      </c>
      <c r="H70" t="s">
        <v>293</v>
      </c>
    </row>
    <row r="71" spans="1:8">
      <c r="A71">
        <v>2</v>
      </c>
      <c r="B71" t="s">
        <v>14</v>
      </c>
      <c r="C71" s="64">
        <v>0.45624999999999999</v>
      </c>
      <c r="D71" t="s">
        <v>705</v>
      </c>
      <c r="E71" s="65">
        <v>45762.456469907411</v>
      </c>
      <c r="F71" t="s">
        <v>289</v>
      </c>
      <c r="G71" t="s">
        <v>548</v>
      </c>
      <c r="H71" t="s">
        <v>291</v>
      </c>
    </row>
    <row r="72" spans="1:8">
      <c r="A72">
        <v>2</v>
      </c>
      <c r="B72" t="s">
        <v>14</v>
      </c>
      <c r="C72" s="64">
        <v>0.45555555555555555</v>
      </c>
      <c r="D72" t="s">
        <v>666</v>
      </c>
      <c r="E72" s="65">
        <v>45762.455763888887</v>
      </c>
      <c r="F72" t="s">
        <v>289</v>
      </c>
      <c r="G72" t="s">
        <v>550</v>
      </c>
      <c r="H72" t="s">
        <v>706</v>
      </c>
    </row>
    <row r="73" spans="1:8">
      <c r="A73">
        <v>3</v>
      </c>
      <c r="B73" t="s">
        <v>14</v>
      </c>
      <c r="C73" s="64">
        <v>0.45347222222222222</v>
      </c>
      <c r="D73" t="s">
        <v>707</v>
      </c>
      <c r="E73" s="65">
        <v>45762.453541666669</v>
      </c>
      <c r="F73" t="s">
        <v>289</v>
      </c>
      <c r="G73" t="s">
        <v>551</v>
      </c>
      <c r="H73" t="s">
        <v>293</v>
      </c>
    </row>
    <row r="74" spans="1:8">
      <c r="A74">
        <v>1</v>
      </c>
      <c r="B74" t="s">
        <v>14</v>
      </c>
      <c r="C74" s="64">
        <v>0.45277777777777778</v>
      </c>
      <c r="D74" t="s">
        <v>708</v>
      </c>
      <c r="E74" s="65">
        <v>45762.452986111108</v>
      </c>
      <c r="F74" t="s">
        <v>289</v>
      </c>
      <c r="G74" t="s">
        <v>552</v>
      </c>
      <c r="H74" t="s">
        <v>291</v>
      </c>
    </row>
    <row r="75" spans="1:8">
      <c r="A75">
        <v>2</v>
      </c>
      <c r="B75" t="s">
        <v>14</v>
      </c>
      <c r="C75" s="64">
        <v>0.45208333333333334</v>
      </c>
      <c r="D75" t="s">
        <v>709</v>
      </c>
      <c r="E75" s="65">
        <v>45762.452118055553</v>
      </c>
      <c r="F75" t="s">
        <v>289</v>
      </c>
      <c r="G75" t="s">
        <v>553</v>
      </c>
      <c r="H75" t="s">
        <v>303</v>
      </c>
    </row>
    <row r="76" spans="1:8">
      <c r="A76">
        <v>2</v>
      </c>
      <c r="B76" t="s">
        <v>14</v>
      </c>
      <c r="C76" s="64">
        <v>0.4513888888888889</v>
      </c>
      <c r="D76" t="s">
        <v>712</v>
      </c>
      <c r="E76" s="65">
        <v>45762.451435185183</v>
      </c>
      <c r="F76" t="s">
        <v>289</v>
      </c>
      <c r="G76" t="s">
        <v>469</v>
      </c>
      <c r="H76" t="s">
        <v>291</v>
      </c>
    </row>
    <row r="77" spans="1:8">
      <c r="A77">
        <v>0</v>
      </c>
      <c r="B77" t="s">
        <v>14</v>
      </c>
      <c r="C77" s="64">
        <v>0.4513888888888889</v>
      </c>
      <c r="D77" t="s">
        <v>710</v>
      </c>
      <c r="E77" s="65">
        <v>45762.451458333337</v>
      </c>
      <c r="F77" t="s">
        <v>289</v>
      </c>
      <c r="G77" t="s">
        <v>711</v>
      </c>
      <c r="H77" t="s">
        <v>293</v>
      </c>
    </row>
    <row r="78" spans="1:8">
      <c r="A78">
        <v>2</v>
      </c>
      <c r="B78" t="s">
        <v>14</v>
      </c>
      <c r="C78" s="64">
        <v>0.45069444444444445</v>
      </c>
      <c r="D78" t="s">
        <v>665</v>
      </c>
      <c r="E78" s="65">
        <v>45762.450949074075</v>
      </c>
      <c r="F78" t="s">
        <v>289</v>
      </c>
      <c r="G78" t="s">
        <v>554</v>
      </c>
      <c r="H78" t="s">
        <v>291</v>
      </c>
    </row>
    <row r="79" spans="1:8">
      <c r="A79">
        <v>2</v>
      </c>
      <c r="B79" t="s">
        <v>14</v>
      </c>
      <c r="C79" s="64">
        <v>0.44930555555555557</v>
      </c>
      <c r="D79" t="s">
        <v>822</v>
      </c>
      <c r="E79" s="65">
        <v>45762.449675925927</v>
      </c>
      <c r="F79" t="s">
        <v>289</v>
      </c>
      <c r="G79" t="s">
        <v>505</v>
      </c>
      <c r="H79" t="s">
        <v>506</v>
      </c>
    </row>
    <row r="80" spans="1:8">
      <c r="A80">
        <v>1</v>
      </c>
      <c r="B80" t="s">
        <v>14</v>
      </c>
      <c r="C80" s="64">
        <v>0.44861111111111113</v>
      </c>
      <c r="D80" t="s">
        <v>714</v>
      </c>
      <c r="E80" s="65">
        <v>45762.44903935185</v>
      </c>
      <c r="F80" t="s">
        <v>289</v>
      </c>
      <c r="G80" t="s">
        <v>552</v>
      </c>
      <c r="H80" t="s">
        <v>291</v>
      </c>
    </row>
    <row r="81" spans="1:8">
      <c r="A81">
        <v>2</v>
      </c>
      <c r="B81" t="s">
        <v>14</v>
      </c>
      <c r="C81" s="64">
        <v>0.44861111111111113</v>
      </c>
      <c r="D81" t="s">
        <v>713</v>
      </c>
      <c r="E81" s="65">
        <v>45762.449224537035</v>
      </c>
      <c r="F81" t="s">
        <v>289</v>
      </c>
      <c r="G81" t="s">
        <v>555</v>
      </c>
      <c r="H81" t="s">
        <v>293</v>
      </c>
    </row>
    <row r="82" spans="1:8">
      <c r="A82">
        <v>1</v>
      </c>
      <c r="B82" t="s">
        <v>14</v>
      </c>
      <c r="C82" s="64">
        <v>0.44791666666666669</v>
      </c>
      <c r="D82" t="s">
        <v>823</v>
      </c>
      <c r="E82" s="65">
        <v>45762.448101851849</v>
      </c>
      <c r="F82" t="s">
        <v>289</v>
      </c>
      <c r="G82" t="s">
        <v>507</v>
      </c>
      <c r="H82" t="s">
        <v>290</v>
      </c>
    </row>
    <row r="83" spans="1:8">
      <c r="A83">
        <v>1</v>
      </c>
      <c r="B83" t="s">
        <v>14</v>
      </c>
      <c r="C83" s="64">
        <v>0.4465277777777778</v>
      </c>
      <c r="D83" t="s">
        <v>715</v>
      </c>
      <c r="E83" s="65">
        <v>45762.446875000001</v>
      </c>
      <c r="F83" t="s">
        <v>289</v>
      </c>
      <c r="G83" t="s">
        <v>511</v>
      </c>
      <c r="H83" t="s">
        <v>292</v>
      </c>
    </row>
    <row r="84" spans="1:8">
      <c r="A84">
        <v>1</v>
      </c>
      <c r="B84" t="s">
        <v>14</v>
      </c>
      <c r="C84" s="64">
        <v>0.4458333333333333</v>
      </c>
      <c r="D84" t="s">
        <v>715</v>
      </c>
      <c r="E84" s="65">
        <v>45762.445902777778</v>
      </c>
      <c r="F84" t="s">
        <v>289</v>
      </c>
      <c r="G84" t="s">
        <v>292</v>
      </c>
      <c r="H84" t="s">
        <v>292</v>
      </c>
    </row>
    <row r="85" spans="1:8">
      <c r="A85">
        <v>2</v>
      </c>
      <c r="B85" t="s">
        <v>14</v>
      </c>
      <c r="C85" s="64">
        <v>0.44513888888888892</v>
      </c>
      <c r="D85" t="s">
        <v>716</v>
      </c>
      <c r="E85" s="65">
        <v>45762.445277777777</v>
      </c>
      <c r="F85" t="s">
        <v>289</v>
      </c>
      <c r="G85" t="s">
        <v>556</v>
      </c>
      <c r="H85" t="s">
        <v>291</v>
      </c>
    </row>
    <row r="86" spans="1:8">
      <c r="A86">
        <v>2</v>
      </c>
      <c r="B86" t="s">
        <v>14</v>
      </c>
      <c r="C86" s="64">
        <v>0.44444444444444442</v>
      </c>
      <c r="D86" t="s">
        <v>717</v>
      </c>
      <c r="E86" s="65">
        <v>45762.444398148145</v>
      </c>
      <c r="F86" t="s">
        <v>289</v>
      </c>
      <c r="G86" t="s">
        <v>557</v>
      </c>
      <c r="H86" t="s">
        <v>293</v>
      </c>
    </row>
    <row r="87" spans="1:8">
      <c r="A87">
        <v>2</v>
      </c>
      <c r="B87" t="s">
        <v>14</v>
      </c>
      <c r="C87" s="64">
        <v>0.44305555555555554</v>
      </c>
      <c r="D87" t="s">
        <v>718</v>
      </c>
      <c r="E87" s="65">
        <v>45762.443668981483</v>
      </c>
      <c r="F87" t="s">
        <v>289</v>
      </c>
      <c r="G87" t="s">
        <v>719</v>
      </c>
      <c r="H87" t="s">
        <v>293</v>
      </c>
    </row>
    <row r="88" spans="1:8">
      <c r="A88">
        <v>1</v>
      </c>
      <c r="B88" t="s">
        <v>14</v>
      </c>
      <c r="C88" s="64">
        <v>0.44236111111111115</v>
      </c>
      <c r="D88" t="s">
        <v>720</v>
      </c>
      <c r="E88" s="65">
        <v>45762.442673611113</v>
      </c>
      <c r="F88" t="s">
        <v>289</v>
      </c>
      <c r="G88" t="s">
        <v>512</v>
      </c>
      <c r="H88" t="s">
        <v>721</v>
      </c>
    </row>
    <row r="89" spans="1:8">
      <c r="A89">
        <v>2</v>
      </c>
      <c r="B89" t="s">
        <v>14</v>
      </c>
      <c r="C89" s="64">
        <v>0.44027777777777777</v>
      </c>
      <c r="D89" t="s">
        <v>64</v>
      </c>
      <c r="E89" s="65">
        <v>45762.440451388888</v>
      </c>
      <c r="F89" t="s">
        <v>289</v>
      </c>
      <c r="G89" t="s">
        <v>722</v>
      </c>
      <c r="H89" t="s">
        <v>426</v>
      </c>
    </row>
    <row r="90" spans="1:8">
      <c r="A90">
        <v>2</v>
      </c>
      <c r="B90" t="s">
        <v>14</v>
      </c>
      <c r="C90" s="64">
        <v>0.44027777777777777</v>
      </c>
      <c r="D90" t="s">
        <v>723</v>
      </c>
      <c r="E90" s="65">
        <v>45762.440706018519</v>
      </c>
      <c r="F90" t="s">
        <v>289</v>
      </c>
      <c r="G90" t="s">
        <v>304</v>
      </c>
      <c r="H90" t="s">
        <v>558</v>
      </c>
    </row>
    <row r="91" spans="1:8">
      <c r="A91">
        <v>2</v>
      </c>
      <c r="B91" t="s">
        <v>14</v>
      </c>
      <c r="C91" s="64">
        <v>0.43888888888888888</v>
      </c>
      <c r="D91" t="s">
        <v>655</v>
      </c>
      <c r="E91" s="65">
        <v>45762.439155092594</v>
      </c>
      <c r="F91" t="s">
        <v>289</v>
      </c>
      <c r="G91" t="s">
        <v>559</v>
      </c>
      <c r="H91" t="s">
        <v>294</v>
      </c>
    </row>
    <row r="92" spans="1:8">
      <c r="A92">
        <v>0</v>
      </c>
      <c r="B92" t="s">
        <v>14</v>
      </c>
      <c r="C92" s="64">
        <v>0.43888888888888888</v>
      </c>
      <c r="D92" t="s">
        <v>406</v>
      </c>
      <c r="E92" s="65">
        <v>45762.439039351855</v>
      </c>
      <c r="F92" t="s">
        <v>289</v>
      </c>
      <c r="G92" t="s">
        <v>444</v>
      </c>
      <c r="H92" t="s">
        <v>293</v>
      </c>
    </row>
    <row r="93" spans="1:8">
      <c r="A93">
        <v>0</v>
      </c>
      <c r="B93" t="s">
        <v>14</v>
      </c>
      <c r="C93" s="64">
        <v>0.4381944444444445</v>
      </c>
      <c r="D93" t="s">
        <v>189</v>
      </c>
      <c r="E93" s="65">
        <v>45762.438761574071</v>
      </c>
      <c r="F93" t="s">
        <v>289</v>
      </c>
      <c r="G93" t="s">
        <v>485</v>
      </c>
      <c r="H93" t="s">
        <v>295</v>
      </c>
    </row>
    <row r="94" spans="1:8">
      <c r="A94">
        <v>2</v>
      </c>
      <c r="B94" t="s">
        <v>14</v>
      </c>
      <c r="C94" s="64">
        <v>0.4381944444444445</v>
      </c>
      <c r="D94" t="s">
        <v>724</v>
      </c>
      <c r="E94" s="65">
        <v>45762.438796296294</v>
      </c>
      <c r="F94" t="s">
        <v>289</v>
      </c>
      <c r="G94" t="s">
        <v>561</v>
      </c>
      <c r="H94" t="s">
        <v>293</v>
      </c>
    </row>
    <row r="95" spans="1:8">
      <c r="A95">
        <v>1</v>
      </c>
      <c r="B95" t="s">
        <v>14</v>
      </c>
      <c r="C95" s="64">
        <v>0.4381944444444445</v>
      </c>
      <c r="D95" t="s">
        <v>674</v>
      </c>
      <c r="E95" s="65">
        <v>45762.438078703701</v>
      </c>
      <c r="F95" t="s">
        <v>289</v>
      </c>
      <c r="G95" t="s">
        <v>470</v>
      </c>
      <c r="H95" t="s">
        <v>412</v>
      </c>
    </row>
    <row r="96" spans="1:8">
      <c r="A96">
        <v>0</v>
      </c>
      <c r="B96" t="s">
        <v>14</v>
      </c>
      <c r="C96" s="64">
        <v>0.4375</v>
      </c>
      <c r="D96" t="s">
        <v>307</v>
      </c>
      <c r="E96" s="65">
        <v>45762.437708333331</v>
      </c>
      <c r="F96" t="s">
        <v>289</v>
      </c>
      <c r="G96" t="s">
        <v>355</v>
      </c>
      <c r="H96" t="s">
        <v>293</v>
      </c>
    </row>
    <row r="97" spans="1:8">
      <c r="A97">
        <v>0</v>
      </c>
      <c r="B97" t="s">
        <v>14</v>
      </c>
      <c r="C97" s="64">
        <v>0.4375</v>
      </c>
      <c r="D97" t="s">
        <v>305</v>
      </c>
      <c r="E97" s="65">
        <v>45762.437581018516</v>
      </c>
      <c r="F97" t="s">
        <v>289</v>
      </c>
      <c r="G97" t="s">
        <v>725</v>
      </c>
      <c r="H97" t="s">
        <v>306</v>
      </c>
    </row>
    <row r="98" spans="1:8">
      <c r="A98">
        <v>0</v>
      </c>
      <c r="B98" t="s">
        <v>14</v>
      </c>
      <c r="C98" s="64">
        <v>0.4375</v>
      </c>
      <c r="D98" t="s">
        <v>348</v>
      </c>
      <c r="E98" s="65">
        <v>45762.437592592592</v>
      </c>
      <c r="F98" t="s">
        <v>289</v>
      </c>
      <c r="G98" t="s">
        <v>349</v>
      </c>
      <c r="H98" t="s">
        <v>291</v>
      </c>
    </row>
    <row r="99" spans="1:8">
      <c r="A99">
        <v>2</v>
      </c>
      <c r="B99" t="s">
        <v>14</v>
      </c>
      <c r="C99" s="64">
        <v>0.43611111111111112</v>
      </c>
      <c r="D99" t="s">
        <v>63</v>
      </c>
      <c r="E99" s="65">
        <v>45762.436331018522</v>
      </c>
      <c r="F99" t="s">
        <v>289</v>
      </c>
      <c r="G99" t="s">
        <v>482</v>
      </c>
      <c r="H99" t="s">
        <v>291</v>
      </c>
    </row>
    <row r="100" spans="1:8">
      <c r="A100">
        <v>2</v>
      </c>
      <c r="B100" t="s">
        <v>14</v>
      </c>
      <c r="C100" s="64">
        <v>0.43541666666666662</v>
      </c>
      <c r="D100" t="s">
        <v>658</v>
      </c>
      <c r="E100" s="65">
        <v>45762.435243055559</v>
      </c>
      <c r="F100" t="s">
        <v>289</v>
      </c>
      <c r="G100" t="s">
        <v>562</v>
      </c>
      <c r="H100" t="s">
        <v>294</v>
      </c>
    </row>
    <row r="101" spans="1:8">
      <c r="A101">
        <v>1</v>
      </c>
      <c r="B101" t="s">
        <v>14</v>
      </c>
      <c r="C101" s="64">
        <v>0.43402777777777773</v>
      </c>
      <c r="D101" t="s">
        <v>727</v>
      </c>
      <c r="E101" s="65">
        <v>45762.434317129628</v>
      </c>
      <c r="F101" t="s">
        <v>289</v>
      </c>
      <c r="G101" t="s">
        <v>433</v>
      </c>
      <c r="H101" t="s">
        <v>291</v>
      </c>
    </row>
    <row r="102" spans="1:8">
      <c r="A102">
        <v>2</v>
      </c>
      <c r="B102" t="s">
        <v>14</v>
      </c>
      <c r="C102" s="64">
        <v>0.43333333333333335</v>
      </c>
      <c r="D102" t="s">
        <v>726</v>
      </c>
      <c r="E102" s="65">
        <v>45762.433993055558</v>
      </c>
      <c r="F102" t="s">
        <v>289</v>
      </c>
      <c r="G102" t="s">
        <v>434</v>
      </c>
      <c r="H102" t="s">
        <v>413</v>
      </c>
    </row>
    <row r="103" spans="1:8">
      <c r="A103">
        <v>2</v>
      </c>
      <c r="B103" t="s">
        <v>14</v>
      </c>
      <c r="C103" s="64">
        <v>0.43333333333333335</v>
      </c>
      <c r="D103" t="s">
        <v>728</v>
      </c>
      <c r="E103" s="65">
        <v>45762.433217592596</v>
      </c>
      <c r="F103" t="s">
        <v>289</v>
      </c>
      <c r="G103" t="s">
        <v>364</v>
      </c>
      <c r="H103" t="s">
        <v>292</v>
      </c>
    </row>
    <row r="104" spans="1:8">
      <c r="A104">
        <v>3</v>
      </c>
      <c r="B104" t="s">
        <v>14</v>
      </c>
      <c r="C104" s="64">
        <v>0.43263888888888885</v>
      </c>
      <c r="D104" t="s">
        <v>729</v>
      </c>
      <c r="E104" s="65">
        <v>45762.432638888888</v>
      </c>
      <c r="F104" t="s">
        <v>289</v>
      </c>
      <c r="G104" t="s">
        <v>563</v>
      </c>
      <c r="H104" t="s">
        <v>293</v>
      </c>
    </row>
    <row r="105" spans="1:8">
      <c r="A105">
        <v>2</v>
      </c>
      <c r="B105" t="s">
        <v>14</v>
      </c>
      <c r="C105" s="64">
        <v>0.43194444444444446</v>
      </c>
      <c r="D105" t="s">
        <v>730</v>
      </c>
      <c r="E105" s="65">
        <v>45762.431932870371</v>
      </c>
      <c r="F105" t="s">
        <v>289</v>
      </c>
      <c r="G105" t="s">
        <v>303</v>
      </c>
      <c r="H105" t="s">
        <v>303</v>
      </c>
    </row>
    <row r="106" spans="1:8">
      <c r="A106">
        <v>2</v>
      </c>
      <c r="B106" t="s">
        <v>14</v>
      </c>
      <c r="C106" s="64">
        <v>0.43124999999999997</v>
      </c>
      <c r="D106" t="s">
        <v>824</v>
      </c>
      <c r="E106" s="65">
        <v>45762.431562500002</v>
      </c>
      <c r="F106" t="s">
        <v>289</v>
      </c>
      <c r="G106" t="s">
        <v>540</v>
      </c>
      <c r="H106" t="s">
        <v>679</v>
      </c>
    </row>
    <row r="107" spans="1:8">
      <c r="A107">
        <v>2</v>
      </c>
      <c r="B107" t="s">
        <v>14</v>
      </c>
      <c r="C107" s="64">
        <v>0.43124999999999997</v>
      </c>
      <c r="D107" t="s">
        <v>731</v>
      </c>
      <c r="E107" s="65">
        <v>45762.43141203704</v>
      </c>
      <c r="F107" t="s">
        <v>289</v>
      </c>
      <c r="G107" t="s">
        <v>564</v>
      </c>
      <c r="H107" t="s">
        <v>303</v>
      </c>
    </row>
    <row r="108" spans="1:8">
      <c r="A108">
        <v>2</v>
      </c>
      <c r="B108" t="s">
        <v>14</v>
      </c>
      <c r="C108" s="64">
        <v>0.42986111111111108</v>
      </c>
      <c r="D108" t="s">
        <v>732</v>
      </c>
      <c r="E108" s="65">
        <v>45762.430358796293</v>
      </c>
      <c r="F108" t="s">
        <v>289</v>
      </c>
      <c r="G108" t="s">
        <v>304</v>
      </c>
      <c r="H108" s="66" t="s">
        <v>565</v>
      </c>
    </row>
    <row r="109" spans="1:8">
      <c r="A109">
        <v>0</v>
      </c>
      <c r="B109" t="s">
        <v>14</v>
      </c>
      <c r="C109" s="64">
        <v>0.4291666666666667</v>
      </c>
      <c r="D109" t="s">
        <v>427</v>
      </c>
      <c r="E109" s="65">
        <v>45762.429236111115</v>
      </c>
      <c r="F109" t="s">
        <v>289</v>
      </c>
      <c r="G109" t="s">
        <v>407</v>
      </c>
      <c r="H109" t="s">
        <v>293</v>
      </c>
    </row>
    <row r="110" spans="1:8">
      <c r="A110">
        <v>1</v>
      </c>
      <c r="B110" t="s">
        <v>14</v>
      </c>
      <c r="C110" s="64">
        <v>0.42777777777777781</v>
      </c>
      <c r="D110" t="s">
        <v>486</v>
      </c>
      <c r="E110" s="65">
        <v>45762.428113425929</v>
      </c>
      <c r="F110" t="s">
        <v>289</v>
      </c>
      <c r="G110" t="s">
        <v>487</v>
      </c>
      <c r="H110" t="s">
        <v>488</v>
      </c>
    </row>
    <row r="111" spans="1:8">
      <c r="A111">
        <v>1</v>
      </c>
      <c r="B111" t="s">
        <v>14</v>
      </c>
      <c r="C111" s="64">
        <v>0.42777777777777781</v>
      </c>
      <c r="D111" t="s">
        <v>486</v>
      </c>
      <c r="E111" s="65">
        <v>45762.428124999999</v>
      </c>
      <c r="F111" t="s">
        <v>289</v>
      </c>
      <c r="G111" t="s">
        <v>566</v>
      </c>
      <c r="H111" t="s">
        <v>734</v>
      </c>
    </row>
    <row r="112" spans="1:8">
      <c r="A112">
        <v>1</v>
      </c>
      <c r="B112" t="s">
        <v>14</v>
      </c>
      <c r="C112" s="64">
        <v>0.42777777777777781</v>
      </c>
      <c r="D112" t="s">
        <v>489</v>
      </c>
      <c r="E112" s="65">
        <v>45762.428159722222</v>
      </c>
      <c r="F112" t="s">
        <v>289</v>
      </c>
      <c r="G112" t="s">
        <v>490</v>
      </c>
      <c r="H112" t="s">
        <v>290</v>
      </c>
    </row>
    <row r="113" spans="1:8">
      <c r="A113">
        <v>1</v>
      </c>
      <c r="B113" t="s">
        <v>14</v>
      </c>
      <c r="C113" s="64">
        <v>0.42777777777777781</v>
      </c>
      <c r="D113" t="s">
        <v>491</v>
      </c>
      <c r="E113" s="65">
        <v>45762.428159722222</v>
      </c>
      <c r="F113" t="s">
        <v>289</v>
      </c>
      <c r="G113" t="s">
        <v>492</v>
      </c>
      <c r="H113" t="s">
        <v>493</v>
      </c>
    </row>
    <row r="114" spans="1:8">
      <c r="A114">
        <v>2</v>
      </c>
      <c r="B114" t="s">
        <v>14</v>
      </c>
      <c r="C114" s="64">
        <v>0.42777777777777781</v>
      </c>
      <c r="D114" t="s">
        <v>669</v>
      </c>
      <c r="E114" s="65">
        <v>45762.42796296296</v>
      </c>
      <c r="F114" t="s">
        <v>289</v>
      </c>
      <c r="G114" t="s">
        <v>567</v>
      </c>
      <c r="H114" t="s">
        <v>706</v>
      </c>
    </row>
    <row r="115" spans="1:8">
      <c r="A115">
        <v>2</v>
      </c>
      <c r="B115" t="s">
        <v>14</v>
      </c>
      <c r="C115" s="64">
        <v>0.42708333333333331</v>
      </c>
      <c r="D115" t="s">
        <v>733</v>
      </c>
      <c r="E115" s="65">
        <v>45762.427662037036</v>
      </c>
      <c r="F115" t="s">
        <v>289</v>
      </c>
      <c r="G115" t="s">
        <v>568</v>
      </c>
      <c r="H115" t="s">
        <v>413</v>
      </c>
    </row>
    <row r="116" spans="1:8">
      <c r="A116">
        <v>2</v>
      </c>
      <c r="B116" t="s">
        <v>14</v>
      </c>
      <c r="C116" s="64">
        <v>0.42708333333333331</v>
      </c>
      <c r="D116" t="s">
        <v>664</v>
      </c>
      <c r="E116" s="65">
        <v>45762.427129629628</v>
      </c>
      <c r="F116" t="s">
        <v>289</v>
      </c>
      <c r="G116" t="s">
        <v>569</v>
      </c>
      <c r="H116" t="s">
        <v>414</v>
      </c>
    </row>
    <row r="117" spans="1:8">
      <c r="A117">
        <v>0</v>
      </c>
      <c r="B117" t="s">
        <v>14</v>
      </c>
      <c r="C117" s="64">
        <v>0.42569444444444443</v>
      </c>
      <c r="D117" t="s">
        <v>392</v>
      </c>
      <c r="E117" s="65">
        <v>45762.425763888888</v>
      </c>
      <c r="F117" t="s">
        <v>289</v>
      </c>
      <c r="G117" t="s">
        <v>613</v>
      </c>
      <c r="H117" t="s">
        <v>293</v>
      </c>
    </row>
    <row r="118" spans="1:8">
      <c r="A118">
        <v>0</v>
      </c>
      <c r="B118" t="s">
        <v>14</v>
      </c>
      <c r="C118" s="64">
        <v>0.42569444444444443</v>
      </c>
      <c r="D118" t="s">
        <v>311</v>
      </c>
      <c r="E118" s="65">
        <v>45762.425983796296</v>
      </c>
      <c r="F118" t="s">
        <v>289</v>
      </c>
      <c r="G118" t="s">
        <v>371</v>
      </c>
      <c r="H118" t="s">
        <v>294</v>
      </c>
    </row>
    <row r="119" spans="1:8">
      <c r="A119">
        <v>2</v>
      </c>
      <c r="B119" t="s">
        <v>14</v>
      </c>
      <c r="C119" s="64">
        <v>0.42499999999999999</v>
      </c>
      <c r="D119" t="s">
        <v>663</v>
      </c>
      <c r="E119" s="65">
        <v>45762.424988425926</v>
      </c>
      <c r="F119" t="s">
        <v>289</v>
      </c>
      <c r="G119" t="s">
        <v>570</v>
      </c>
      <c r="H119" t="s">
        <v>414</v>
      </c>
    </row>
    <row r="120" spans="1:8">
      <c r="A120">
        <v>2</v>
      </c>
      <c r="B120" t="s">
        <v>14</v>
      </c>
      <c r="C120" s="64">
        <v>0.42430555555555555</v>
      </c>
      <c r="D120" t="s">
        <v>825</v>
      </c>
      <c r="E120" s="65">
        <v>45762.424953703703</v>
      </c>
      <c r="F120" t="s">
        <v>289</v>
      </c>
      <c r="G120" t="s">
        <v>826</v>
      </c>
      <c r="H120" t="s">
        <v>293</v>
      </c>
    </row>
    <row r="121" spans="1:8">
      <c r="A121">
        <v>0</v>
      </c>
      <c r="B121" t="s">
        <v>14</v>
      </c>
      <c r="C121" s="64">
        <v>0.42430555555555555</v>
      </c>
      <c r="D121" t="s">
        <v>309</v>
      </c>
      <c r="E121" s="65">
        <v>45762.424421296295</v>
      </c>
      <c r="F121" t="s">
        <v>289</v>
      </c>
      <c r="G121" t="s">
        <v>310</v>
      </c>
      <c r="H121" t="s">
        <v>295</v>
      </c>
    </row>
    <row r="122" spans="1:8">
      <c r="A122">
        <v>0</v>
      </c>
      <c r="B122" t="s">
        <v>14</v>
      </c>
      <c r="C122" s="64">
        <v>0.42430555555555555</v>
      </c>
      <c r="D122" t="s">
        <v>320</v>
      </c>
      <c r="E122" s="65">
        <v>45762.424398148149</v>
      </c>
      <c r="F122" t="s">
        <v>289</v>
      </c>
      <c r="G122" t="s">
        <v>735</v>
      </c>
      <c r="H122" t="s">
        <v>294</v>
      </c>
    </row>
    <row r="123" spans="1:8">
      <c r="A123">
        <v>0</v>
      </c>
      <c r="B123" t="s">
        <v>14</v>
      </c>
      <c r="C123" s="64">
        <v>0.4236111111111111</v>
      </c>
      <c r="D123" t="s">
        <v>317</v>
      </c>
      <c r="E123" s="65">
        <v>45762.423680555556</v>
      </c>
      <c r="F123" t="s">
        <v>289</v>
      </c>
      <c r="G123" t="s">
        <v>318</v>
      </c>
      <c r="H123" t="s">
        <v>291</v>
      </c>
    </row>
    <row r="124" spans="1:8">
      <c r="A124">
        <v>0</v>
      </c>
      <c r="B124" t="s">
        <v>14</v>
      </c>
      <c r="C124" s="64">
        <v>0.4236111111111111</v>
      </c>
      <c r="D124" t="s">
        <v>315</v>
      </c>
      <c r="E124" s="65">
        <v>45762.423773148148</v>
      </c>
      <c r="F124" t="s">
        <v>289</v>
      </c>
      <c r="G124" t="s">
        <v>316</v>
      </c>
      <c r="H124" t="s">
        <v>291</v>
      </c>
    </row>
    <row r="125" spans="1:8">
      <c r="A125">
        <v>0</v>
      </c>
      <c r="B125" t="s">
        <v>14</v>
      </c>
      <c r="C125" s="64">
        <v>0.4236111111111111</v>
      </c>
      <c r="D125" t="s">
        <v>308</v>
      </c>
      <c r="E125" s="65">
        <v>45762.423900462964</v>
      </c>
      <c r="F125" t="s">
        <v>289</v>
      </c>
      <c r="G125" t="s">
        <v>304</v>
      </c>
      <c r="H125" t="s">
        <v>291</v>
      </c>
    </row>
    <row r="126" spans="1:8">
      <c r="A126">
        <v>2</v>
      </c>
      <c r="B126" t="s">
        <v>14</v>
      </c>
      <c r="C126" s="64">
        <v>0.4236111111111111</v>
      </c>
      <c r="D126" t="s">
        <v>614</v>
      </c>
      <c r="E126" s="65">
        <v>45762.423900462964</v>
      </c>
      <c r="F126" t="s">
        <v>289</v>
      </c>
      <c r="G126" t="s">
        <v>304</v>
      </c>
      <c r="H126" t="s">
        <v>571</v>
      </c>
    </row>
    <row r="127" spans="1:8">
      <c r="A127">
        <v>0</v>
      </c>
      <c r="B127" t="s">
        <v>14</v>
      </c>
      <c r="C127" s="64">
        <v>0.4236111111111111</v>
      </c>
      <c r="D127" t="s">
        <v>312</v>
      </c>
      <c r="E127" s="65">
        <v>45762.423946759256</v>
      </c>
      <c r="F127" t="s">
        <v>289</v>
      </c>
      <c r="G127" t="s">
        <v>313</v>
      </c>
      <c r="H127" t="s">
        <v>314</v>
      </c>
    </row>
    <row r="128" spans="1:8">
      <c r="A128">
        <v>0</v>
      </c>
      <c r="B128" t="s">
        <v>14</v>
      </c>
      <c r="C128" s="64">
        <v>0.42291666666666666</v>
      </c>
      <c r="D128" t="s">
        <v>404</v>
      </c>
      <c r="E128" s="65">
        <v>45762.422974537039</v>
      </c>
      <c r="F128" t="s">
        <v>289</v>
      </c>
      <c r="G128" t="s">
        <v>405</v>
      </c>
      <c r="H128" t="s">
        <v>293</v>
      </c>
    </row>
    <row r="129" spans="1:8">
      <c r="A129">
        <v>1</v>
      </c>
      <c r="B129" t="s">
        <v>14</v>
      </c>
      <c r="C129" s="64">
        <v>0.42152777777777778</v>
      </c>
      <c r="D129" t="s">
        <v>190</v>
      </c>
      <c r="E129" s="65">
        <v>45762.422129629631</v>
      </c>
      <c r="F129" t="s">
        <v>289</v>
      </c>
      <c r="G129" t="s">
        <v>483</v>
      </c>
      <c r="H129" t="s">
        <v>319</v>
      </c>
    </row>
    <row r="130" spans="1:8">
      <c r="A130">
        <v>2</v>
      </c>
      <c r="B130" t="s">
        <v>14</v>
      </c>
      <c r="C130" s="64">
        <v>0.42083333333333334</v>
      </c>
      <c r="D130" t="s">
        <v>616</v>
      </c>
      <c r="E130" s="65">
        <v>45762.420914351853</v>
      </c>
      <c r="F130" t="s">
        <v>289</v>
      </c>
      <c r="G130" t="s">
        <v>573</v>
      </c>
      <c r="H130" t="s">
        <v>294</v>
      </c>
    </row>
    <row r="131" spans="1:8">
      <c r="A131">
        <v>2</v>
      </c>
      <c r="B131" t="s">
        <v>14</v>
      </c>
      <c r="C131" s="64">
        <v>0.42083333333333334</v>
      </c>
      <c r="D131" t="s">
        <v>615</v>
      </c>
      <c r="E131" s="65">
        <v>45762.421481481484</v>
      </c>
      <c r="F131" t="s">
        <v>289</v>
      </c>
      <c r="G131" t="s">
        <v>437</v>
      </c>
      <c r="H131" t="s">
        <v>290</v>
      </c>
    </row>
    <row r="132" spans="1:8">
      <c r="A132">
        <v>2</v>
      </c>
      <c r="B132" t="s">
        <v>14</v>
      </c>
      <c r="C132" s="64">
        <v>0.41944444444444445</v>
      </c>
      <c r="D132" t="s">
        <v>617</v>
      </c>
      <c r="E132" s="65">
        <v>45762.419432870367</v>
      </c>
      <c r="F132" t="s">
        <v>289</v>
      </c>
      <c r="G132" t="s">
        <v>736</v>
      </c>
      <c r="H132" t="s">
        <v>291</v>
      </c>
    </row>
    <row r="133" spans="1:8">
      <c r="A133">
        <v>2</v>
      </c>
      <c r="B133" t="s">
        <v>14</v>
      </c>
      <c r="C133" s="64">
        <v>0.41875000000000001</v>
      </c>
      <c r="D133" t="s">
        <v>757</v>
      </c>
      <c r="E133" s="65">
        <v>45762.419282407405</v>
      </c>
      <c r="F133" t="s">
        <v>289</v>
      </c>
      <c r="G133" t="s">
        <v>758</v>
      </c>
      <c r="H133" t="s">
        <v>290</v>
      </c>
    </row>
    <row r="134" spans="1:8">
      <c r="A134">
        <v>2</v>
      </c>
      <c r="B134" t="s">
        <v>14</v>
      </c>
      <c r="C134" s="64">
        <v>0.41875000000000001</v>
      </c>
      <c r="D134" t="s">
        <v>620</v>
      </c>
      <c r="E134" s="65">
        <v>45762.419363425928</v>
      </c>
      <c r="F134" t="s">
        <v>289</v>
      </c>
      <c r="G134" t="s">
        <v>621</v>
      </c>
      <c r="H134" t="s">
        <v>293</v>
      </c>
    </row>
    <row r="135" spans="1:8">
      <c r="A135">
        <v>0</v>
      </c>
      <c r="B135" t="s">
        <v>14</v>
      </c>
      <c r="C135" s="64">
        <v>0.41875000000000001</v>
      </c>
      <c r="D135" t="s">
        <v>343</v>
      </c>
      <c r="E135" s="65">
        <v>45762.418819444443</v>
      </c>
      <c r="F135" t="s">
        <v>289</v>
      </c>
      <c r="G135" t="s">
        <v>445</v>
      </c>
      <c r="H135" t="s">
        <v>293</v>
      </c>
    </row>
    <row r="136" spans="1:8">
      <c r="A136">
        <v>0</v>
      </c>
      <c r="B136" t="s">
        <v>14</v>
      </c>
      <c r="C136" s="64">
        <v>0.41805555555555557</v>
      </c>
      <c r="D136" t="s">
        <v>344</v>
      </c>
      <c r="E136" s="65">
        <v>45762.418124999997</v>
      </c>
      <c r="F136" t="s">
        <v>289</v>
      </c>
      <c r="G136" t="s">
        <v>445</v>
      </c>
      <c r="H136" t="s">
        <v>293</v>
      </c>
    </row>
    <row r="137" spans="1:8">
      <c r="A137">
        <v>2</v>
      </c>
      <c r="B137" t="s">
        <v>14</v>
      </c>
      <c r="C137" s="64">
        <v>0.41805555555555557</v>
      </c>
      <c r="D137" t="s">
        <v>618</v>
      </c>
      <c r="E137" s="65">
        <v>45762.418124999997</v>
      </c>
      <c r="F137" t="s">
        <v>289</v>
      </c>
      <c r="G137" t="s">
        <v>574</v>
      </c>
      <c r="H137" t="s">
        <v>415</v>
      </c>
    </row>
    <row r="138" spans="1:8">
      <c r="A138">
        <v>0</v>
      </c>
      <c r="B138" t="s">
        <v>14</v>
      </c>
      <c r="C138" s="64">
        <v>0.41666666666666669</v>
      </c>
      <c r="D138" t="s">
        <v>515</v>
      </c>
      <c r="E138" s="65">
        <v>45762.417245370372</v>
      </c>
      <c r="F138" t="s">
        <v>289</v>
      </c>
      <c r="G138" t="s">
        <v>318</v>
      </c>
      <c r="H138" t="s">
        <v>291</v>
      </c>
    </row>
    <row r="139" spans="1:8">
      <c r="A139">
        <v>0</v>
      </c>
      <c r="B139" t="s">
        <v>14</v>
      </c>
      <c r="C139" s="64">
        <v>0.41666666666666669</v>
      </c>
      <c r="D139" t="s">
        <v>56</v>
      </c>
      <c r="E139" s="65">
        <v>45762.417280092595</v>
      </c>
      <c r="F139" t="s">
        <v>289</v>
      </c>
      <c r="G139" t="s">
        <v>416</v>
      </c>
      <c r="H139" t="s">
        <v>291</v>
      </c>
    </row>
    <row r="140" spans="1:8">
      <c r="A140">
        <v>2</v>
      </c>
      <c r="B140" t="s">
        <v>14</v>
      </c>
      <c r="C140" s="64">
        <v>0.41666666666666669</v>
      </c>
      <c r="D140" t="s">
        <v>619</v>
      </c>
      <c r="E140" s="65">
        <v>45762.417048611111</v>
      </c>
      <c r="F140" t="s">
        <v>289</v>
      </c>
      <c r="G140" t="s">
        <v>435</v>
      </c>
      <c r="H140" t="s">
        <v>538</v>
      </c>
    </row>
    <row r="141" spans="1:8">
      <c r="A141">
        <v>0</v>
      </c>
      <c r="B141" t="s">
        <v>14</v>
      </c>
      <c r="C141" s="64">
        <v>0.41666666666666669</v>
      </c>
      <c r="D141" t="s">
        <v>513</v>
      </c>
      <c r="E141" s="65">
        <v>45762.417118055557</v>
      </c>
      <c r="F141" t="s">
        <v>289</v>
      </c>
      <c r="G141" t="s">
        <v>575</v>
      </c>
      <c r="H141" t="s">
        <v>295</v>
      </c>
    </row>
    <row r="142" spans="1:8">
      <c r="A142">
        <v>0</v>
      </c>
      <c r="B142" t="s">
        <v>14</v>
      </c>
      <c r="C142" s="64">
        <v>0.41666666666666669</v>
      </c>
      <c r="D142" t="s">
        <v>365</v>
      </c>
      <c r="E142" s="65">
        <v>45762.416828703703</v>
      </c>
      <c r="F142" t="s">
        <v>289</v>
      </c>
      <c r="G142" t="s">
        <v>737</v>
      </c>
      <c r="H142" t="s">
        <v>294</v>
      </c>
    </row>
    <row r="143" spans="1:8">
      <c r="A143">
        <v>0</v>
      </c>
      <c r="B143" t="s">
        <v>14</v>
      </c>
      <c r="C143" s="64">
        <v>0.41666666666666669</v>
      </c>
      <c r="D143" t="s">
        <v>381</v>
      </c>
      <c r="E143" s="65">
        <v>45762.41684027778</v>
      </c>
      <c r="F143" t="s">
        <v>289</v>
      </c>
      <c r="G143" t="s">
        <v>514</v>
      </c>
      <c r="H143" t="s">
        <v>296</v>
      </c>
    </row>
    <row r="144" spans="1:8">
      <c r="A144">
        <v>0</v>
      </c>
      <c r="B144" t="s">
        <v>14</v>
      </c>
      <c r="C144" s="64">
        <v>0.41666666666666669</v>
      </c>
      <c r="D144" t="s">
        <v>361</v>
      </c>
      <c r="E144" s="65">
        <v>45762.416863425926</v>
      </c>
      <c r="F144" t="s">
        <v>289</v>
      </c>
      <c r="G144" t="s">
        <v>362</v>
      </c>
      <c r="H144" t="s">
        <v>294</v>
      </c>
    </row>
    <row r="145" spans="1:8">
      <c r="A145">
        <v>0</v>
      </c>
      <c r="B145" t="s">
        <v>14</v>
      </c>
      <c r="C145" s="64">
        <v>0.41666666666666669</v>
      </c>
      <c r="D145" t="s">
        <v>382</v>
      </c>
      <c r="E145" s="65">
        <v>45762.416921296295</v>
      </c>
      <c r="F145" t="s">
        <v>289</v>
      </c>
      <c r="G145" t="s">
        <v>514</v>
      </c>
      <c r="H145" t="s">
        <v>296</v>
      </c>
    </row>
    <row r="146" spans="1:8">
      <c r="A146">
        <v>0</v>
      </c>
      <c r="B146" t="s">
        <v>14</v>
      </c>
      <c r="C146" s="64">
        <v>0.41666666666666669</v>
      </c>
      <c r="D146" t="s">
        <v>321</v>
      </c>
      <c r="E146" s="65">
        <v>45762.416944444441</v>
      </c>
      <c r="F146" t="s">
        <v>289</v>
      </c>
      <c r="G146" t="s">
        <v>310</v>
      </c>
      <c r="H146" t="s">
        <v>291</v>
      </c>
    </row>
    <row r="147" spans="1:8">
      <c r="A147">
        <v>0</v>
      </c>
      <c r="B147" t="s">
        <v>14</v>
      </c>
      <c r="C147" s="64">
        <v>0.41666666666666669</v>
      </c>
      <c r="D147" t="s">
        <v>387</v>
      </c>
      <c r="E147" s="65">
        <v>45762.41673611111</v>
      </c>
      <c r="F147" t="s">
        <v>289</v>
      </c>
      <c r="G147" t="s">
        <v>576</v>
      </c>
      <c r="H147" t="s">
        <v>293</v>
      </c>
    </row>
    <row r="148" spans="1:8">
      <c r="A148">
        <v>2</v>
      </c>
      <c r="B148" t="s">
        <v>14</v>
      </c>
      <c r="C148" s="64">
        <v>0.41597222222222219</v>
      </c>
      <c r="D148" t="s">
        <v>827</v>
      </c>
      <c r="E148" s="65">
        <v>45762.416550925926</v>
      </c>
      <c r="F148" t="s">
        <v>289</v>
      </c>
      <c r="G148" t="s">
        <v>368</v>
      </c>
      <c r="H148" t="s">
        <v>539</v>
      </c>
    </row>
    <row r="149" spans="1:8">
      <c r="A149">
        <v>2</v>
      </c>
      <c r="B149" t="s">
        <v>14</v>
      </c>
      <c r="C149" s="64">
        <v>0.41388888888888892</v>
      </c>
      <c r="D149" t="s">
        <v>622</v>
      </c>
      <c r="E149" s="65">
        <v>45762.414050925923</v>
      </c>
      <c r="F149" t="s">
        <v>289</v>
      </c>
      <c r="G149" t="s">
        <v>577</v>
      </c>
      <c r="H149" t="s">
        <v>706</v>
      </c>
    </row>
    <row r="150" spans="1:8">
      <c r="A150">
        <v>2</v>
      </c>
      <c r="B150" t="s">
        <v>14</v>
      </c>
      <c r="C150" s="64">
        <v>0.41111111111111115</v>
      </c>
      <c r="D150" t="s">
        <v>828</v>
      </c>
      <c r="E150" s="65">
        <v>45762.411365740743</v>
      </c>
      <c r="F150" t="s">
        <v>289</v>
      </c>
      <c r="G150" t="s">
        <v>572</v>
      </c>
      <c r="H150" t="s">
        <v>690</v>
      </c>
    </row>
    <row r="151" spans="1:8">
      <c r="A151">
        <v>0</v>
      </c>
      <c r="B151" t="s">
        <v>14</v>
      </c>
      <c r="C151" s="64">
        <v>0.40972222222222227</v>
      </c>
      <c r="D151" t="s">
        <v>428</v>
      </c>
      <c r="E151" s="65">
        <v>45762.410150462965</v>
      </c>
      <c r="F151" t="s">
        <v>289</v>
      </c>
      <c r="G151" t="s">
        <v>429</v>
      </c>
      <c r="H151" t="s">
        <v>291</v>
      </c>
    </row>
    <row r="152" spans="1:8">
      <c r="A152">
        <v>0</v>
      </c>
      <c r="B152" t="s">
        <v>14</v>
      </c>
      <c r="C152" s="64">
        <v>0.40972222222222227</v>
      </c>
      <c r="D152" t="s">
        <v>323</v>
      </c>
      <c r="E152" s="65">
        <v>45762.41034722222</v>
      </c>
      <c r="F152" t="s">
        <v>289</v>
      </c>
      <c r="G152" t="s">
        <v>324</v>
      </c>
      <c r="H152" t="s">
        <v>292</v>
      </c>
    </row>
    <row r="153" spans="1:8">
      <c r="A153">
        <v>0</v>
      </c>
      <c r="B153" t="s">
        <v>14</v>
      </c>
      <c r="C153" s="64">
        <v>0.40972222222222227</v>
      </c>
      <c r="D153" t="s">
        <v>377</v>
      </c>
      <c r="E153" s="65">
        <v>45762.409780092596</v>
      </c>
      <c r="F153" t="s">
        <v>289</v>
      </c>
      <c r="G153" t="s">
        <v>378</v>
      </c>
      <c r="H153" t="s">
        <v>291</v>
      </c>
    </row>
    <row r="154" spans="1:8">
      <c r="A154">
        <v>0</v>
      </c>
      <c r="B154" t="s">
        <v>14</v>
      </c>
      <c r="C154" s="64">
        <v>0.40972222222222227</v>
      </c>
      <c r="D154" t="s">
        <v>379</v>
      </c>
      <c r="E154" s="65">
        <v>45762.409780092596</v>
      </c>
      <c r="F154" t="s">
        <v>289</v>
      </c>
      <c r="G154" t="s">
        <v>378</v>
      </c>
      <c r="H154" t="s">
        <v>291</v>
      </c>
    </row>
    <row r="155" spans="1:8">
      <c r="A155">
        <v>1</v>
      </c>
      <c r="B155" t="s">
        <v>14</v>
      </c>
      <c r="C155" s="64">
        <v>0.40277777777777773</v>
      </c>
      <c r="D155" t="s">
        <v>120</v>
      </c>
      <c r="E155" s="65">
        <v>45762.403078703705</v>
      </c>
      <c r="F155" t="s">
        <v>289</v>
      </c>
      <c r="G155" t="s">
        <v>354</v>
      </c>
      <c r="H155" t="s">
        <v>325</v>
      </c>
    </row>
    <row r="156" spans="1:8">
      <c r="A156">
        <v>0</v>
      </c>
      <c r="B156" t="s">
        <v>14</v>
      </c>
      <c r="C156" s="64">
        <v>0.40277777777777773</v>
      </c>
      <c r="D156" t="s">
        <v>376</v>
      </c>
      <c r="E156" s="65">
        <v>45762.40284722222</v>
      </c>
      <c r="F156" t="s">
        <v>289</v>
      </c>
      <c r="G156" t="s">
        <v>417</v>
      </c>
      <c r="H156" t="s">
        <v>291</v>
      </c>
    </row>
    <row r="157" spans="1:8">
      <c r="A157">
        <v>0</v>
      </c>
      <c r="B157" t="s">
        <v>14</v>
      </c>
      <c r="C157" s="64">
        <v>0.40277777777777773</v>
      </c>
      <c r="D157" t="s">
        <v>375</v>
      </c>
      <c r="E157" s="65">
        <v>45762.40284722222</v>
      </c>
      <c r="F157" t="s">
        <v>289</v>
      </c>
      <c r="G157" t="s">
        <v>417</v>
      </c>
      <c r="H157" t="s">
        <v>291</v>
      </c>
    </row>
    <row r="158" spans="1:8">
      <c r="A158">
        <v>0</v>
      </c>
      <c r="B158" t="s">
        <v>14</v>
      </c>
      <c r="C158" s="64">
        <v>0.40277777777777773</v>
      </c>
      <c r="D158" t="s">
        <v>430</v>
      </c>
      <c r="E158" s="65">
        <v>45762.402858796297</v>
      </c>
      <c r="F158" t="s">
        <v>289</v>
      </c>
      <c r="G158" t="s">
        <v>446</v>
      </c>
      <c r="H158" t="s">
        <v>291</v>
      </c>
    </row>
    <row r="159" spans="1:8">
      <c r="A159">
        <v>0</v>
      </c>
      <c r="B159" t="s">
        <v>14</v>
      </c>
      <c r="C159" s="64">
        <v>0.40277777777777773</v>
      </c>
      <c r="D159" t="s">
        <v>326</v>
      </c>
      <c r="E159" s="65">
        <v>45762.403055555558</v>
      </c>
      <c r="F159" t="s">
        <v>289</v>
      </c>
      <c r="G159" t="s">
        <v>324</v>
      </c>
      <c r="H159" t="s">
        <v>292</v>
      </c>
    </row>
    <row r="160" spans="1:8">
      <c r="A160">
        <v>2</v>
      </c>
      <c r="B160" t="s">
        <v>14</v>
      </c>
      <c r="C160" s="64">
        <v>0.40138888888888885</v>
      </c>
      <c r="D160" t="s">
        <v>94</v>
      </c>
      <c r="E160" s="65">
        <v>45762.400763888887</v>
      </c>
      <c r="F160" t="s">
        <v>289</v>
      </c>
      <c r="G160" t="s">
        <v>579</v>
      </c>
      <c r="H160" t="s">
        <v>291</v>
      </c>
    </row>
    <row r="161" spans="1:8">
      <c r="A161">
        <v>2</v>
      </c>
      <c r="B161" t="s">
        <v>14</v>
      </c>
      <c r="C161" s="64">
        <v>0.40069444444444446</v>
      </c>
      <c r="D161" t="s">
        <v>623</v>
      </c>
      <c r="E161" s="65">
        <v>45762.400694444441</v>
      </c>
      <c r="F161" t="s">
        <v>289</v>
      </c>
      <c r="G161" t="s">
        <v>580</v>
      </c>
      <c r="H161" t="s">
        <v>329</v>
      </c>
    </row>
    <row r="162" spans="1:8">
      <c r="A162">
        <v>2</v>
      </c>
      <c r="B162" t="s">
        <v>14</v>
      </c>
      <c r="C162" s="64">
        <v>0.40069444444444446</v>
      </c>
      <c r="D162" t="s">
        <v>94</v>
      </c>
      <c r="E162" s="65">
        <v>45762.400370370371</v>
      </c>
      <c r="F162" t="s">
        <v>289</v>
      </c>
      <c r="G162" t="s">
        <v>578</v>
      </c>
      <c r="H162" t="s">
        <v>291</v>
      </c>
    </row>
    <row r="163" spans="1:8">
      <c r="A163">
        <v>2</v>
      </c>
      <c r="B163" t="s">
        <v>14</v>
      </c>
      <c r="C163" s="64">
        <v>0.39652777777777781</v>
      </c>
      <c r="D163" t="s">
        <v>624</v>
      </c>
      <c r="E163" s="65">
        <v>45762.397013888891</v>
      </c>
      <c r="F163" t="s">
        <v>289</v>
      </c>
      <c r="G163" t="s">
        <v>581</v>
      </c>
      <c r="H163" t="s">
        <v>340</v>
      </c>
    </row>
    <row r="164" spans="1:8">
      <c r="A164">
        <v>0</v>
      </c>
      <c r="B164" t="s">
        <v>14</v>
      </c>
      <c r="C164" s="64">
        <v>0.39583333333333331</v>
      </c>
      <c r="D164" t="s">
        <v>358</v>
      </c>
      <c r="E164" s="65">
        <v>45762.395891203705</v>
      </c>
      <c r="F164" t="s">
        <v>289</v>
      </c>
      <c r="G164" t="s">
        <v>388</v>
      </c>
      <c r="H164" t="s">
        <v>359</v>
      </c>
    </row>
    <row r="165" spans="1:8">
      <c r="A165">
        <v>0</v>
      </c>
      <c r="B165" t="s">
        <v>14</v>
      </c>
      <c r="C165" s="64">
        <v>0.39583333333333331</v>
      </c>
      <c r="D165" t="s">
        <v>327</v>
      </c>
      <c r="E165" s="65">
        <v>45762.395891203705</v>
      </c>
      <c r="F165" t="s">
        <v>289</v>
      </c>
      <c r="G165" t="s">
        <v>471</v>
      </c>
      <c r="H165" t="s">
        <v>328</v>
      </c>
    </row>
    <row r="166" spans="1:8">
      <c r="A166">
        <v>0</v>
      </c>
      <c r="B166" t="s">
        <v>14</v>
      </c>
      <c r="C166" s="64">
        <v>0.39583333333333331</v>
      </c>
      <c r="D166" t="s">
        <v>373</v>
      </c>
      <c r="E166" s="65">
        <v>45762.395914351851</v>
      </c>
      <c r="F166" t="s">
        <v>289</v>
      </c>
      <c r="G166" t="s">
        <v>374</v>
      </c>
      <c r="H166" t="s">
        <v>291</v>
      </c>
    </row>
    <row r="167" spans="1:8">
      <c r="A167">
        <v>0</v>
      </c>
      <c r="B167" t="s">
        <v>14</v>
      </c>
      <c r="C167" s="64">
        <v>0.39583333333333331</v>
      </c>
      <c r="D167" t="s">
        <v>367</v>
      </c>
      <c r="E167" s="65">
        <v>45762.395949074074</v>
      </c>
      <c r="F167" t="s">
        <v>289</v>
      </c>
      <c r="G167" t="s">
        <v>738</v>
      </c>
      <c r="H167" t="s">
        <v>291</v>
      </c>
    </row>
    <row r="168" spans="1:8">
      <c r="A168">
        <v>0</v>
      </c>
      <c r="B168" t="s">
        <v>14</v>
      </c>
      <c r="C168" s="64">
        <v>0.39583333333333331</v>
      </c>
      <c r="D168" t="s">
        <v>829</v>
      </c>
      <c r="E168" s="65">
        <v>45762.395960648151</v>
      </c>
      <c r="F168" t="s">
        <v>289</v>
      </c>
      <c r="G168" t="s">
        <v>830</v>
      </c>
      <c r="H168" t="s">
        <v>294</v>
      </c>
    </row>
    <row r="169" spans="1:8">
      <c r="A169">
        <v>2</v>
      </c>
      <c r="B169" t="s">
        <v>14</v>
      </c>
      <c r="C169" s="64">
        <v>0.39513888888888887</v>
      </c>
      <c r="D169" t="s">
        <v>625</v>
      </c>
      <c r="E169" s="65">
        <v>45762.39503472222</v>
      </c>
      <c r="F169" t="s">
        <v>289</v>
      </c>
      <c r="G169" t="s">
        <v>582</v>
      </c>
      <c r="H169" t="s">
        <v>418</v>
      </c>
    </row>
    <row r="170" spans="1:8">
      <c r="A170">
        <v>0</v>
      </c>
      <c r="B170" t="s">
        <v>14</v>
      </c>
      <c r="C170" s="64">
        <v>0.39444444444444443</v>
      </c>
      <c r="D170" t="s">
        <v>583</v>
      </c>
      <c r="E170" s="65">
        <v>45762.394548611112</v>
      </c>
      <c r="F170" t="s">
        <v>289</v>
      </c>
      <c r="G170" t="s">
        <v>374</v>
      </c>
      <c r="H170" t="s">
        <v>291</v>
      </c>
    </row>
    <row r="171" spans="1:8">
      <c r="A171">
        <v>2</v>
      </c>
      <c r="B171" t="s">
        <v>14</v>
      </c>
      <c r="C171" s="64">
        <v>0.39374999999999999</v>
      </c>
      <c r="D171" t="s">
        <v>626</v>
      </c>
      <c r="E171" s="65">
        <v>45762.393773148149</v>
      </c>
      <c r="F171" t="s">
        <v>289</v>
      </c>
      <c r="G171" t="s">
        <v>739</v>
      </c>
      <c r="H171" t="s">
        <v>294</v>
      </c>
    </row>
    <row r="172" spans="1:8">
      <c r="A172">
        <v>2</v>
      </c>
      <c r="B172" t="s">
        <v>14</v>
      </c>
      <c r="C172" s="64">
        <v>0.39305555555555555</v>
      </c>
      <c r="D172" t="s">
        <v>627</v>
      </c>
      <c r="E172" s="65">
        <v>45762.393564814818</v>
      </c>
      <c r="F172" t="s">
        <v>289</v>
      </c>
      <c r="G172" t="s">
        <v>585</v>
      </c>
      <c r="H172" t="s">
        <v>293</v>
      </c>
    </row>
    <row r="173" spans="1:8">
      <c r="A173">
        <v>2</v>
      </c>
      <c r="B173" t="s">
        <v>14</v>
      </c>
      <c r="C173" s="64">
        <v>0.39305555555555555</v>
      </c>
      <c r="D173" t="s">
        <v>628</v>
      </c>
      <c r="E173" s="65">
        <v>45762.393206018518</v>
      </c>
      <c r="F173" t="s">
        <v>289</v>
      </c>
      <c r="G173" t="s">
        <v>584</v>
      </c>
      <c r="H173" t="s">
        <v>290</v>
      </c>
    </row>
    <row r="174" spans="1:8">
      <c r="A174">
        <v>2</v>
      </c>
      <c r="B174" t="s">
        <v>14</v>
      </c>
      <c r="C174" s="64">
        <v>0.39097222222222222</v>
      </c>
      <c r="D174" t="s">
        <v>740</v>
      </c>
      <c r="E174" s="65">
        <v>45762.391261574077</v>
      </c>
      <c r="F174" t="s">
        <v>289</v>
      </c>
      <c r="G174" t="s">
        <v>537</v>
      </c>
      <c r="H174" t="s">
        <v>290</v>
      </c>
    </row>
    <row r="175" spans="1:8">
      <c r="A175">
        <v>2</v>
      </c>
      <c r="B175" t="s">
        <v>14</v>
      </c>
      <c r="C175" s="64">
        <v>0.39027777777777778</v>
      </c>
      <c r="D175" t="s">
        <v>630</v>
      </c>
      <c r="E175" s="65">
        <v>45762.390601851854</v>
      </c>
      <c r="F175" t="s">
        <v>289</v>
      </c>
      <c r="G175" t="s">
        <v>472</v>
      </c>
      <c r="H175" t="s">
        <v>292</v>
      </c>
    </row>
    <row r="176" spans="1:8">
      <c r="A176">
        <v>2</v>
      </c>
      <c r="B176" t="s">
        <v>14</v>
      </c>
      <c r="C176" s="64">
        <v>0.39027777777777778</v>
      </c>
      <c r="D176" t="s">
        <v>629</v>
      </c>
      <c r="E176" s="65">
        <v>45762.390416666669</v>
      </c>
      <c r="F176" t="s">
        <v>289</v>
      </c>
      <c r="G176" t="s">
        <v>587</v>
      </c>
      <c r="H176" t="s">
        <v>588</v>
      </c>
    </row>
    <row r="177" spans="1:8">
      <c r="A177">
        <v>0</v>
      </c>
      <c r="B177" t="s">
        <v>14</v>
      </c>
      <c r="C177" s="64">
        <v>0.3888888888888889</v>
      </c>
      <c r="D177" t="s">
        <v>421</v>
      </c>
      <c r="E177" s="65">
        <v>45762.388958333337</v>
      </c>
      <c r="F177" t="s">
        <v>289</v>
      </c>
      <c r="G177" t="s">
        <v>420</v>
      </c>
      <c r="H177" t="s">
        <v>742</v>
      </c>
    </row>
    <row r="178" spans="1:8">
      <c r="A178">
        <v>0</v>
      </c>
      <c r="B178" t="s">
        <v>14</v>
      </c>
      <c r="C178" s="64">
        <v>0.3888888888888889</v>
      </c>
      <c r="D178" t="s">
        <v>516</v>
      </c>
      <c r="E178" s="65">
        <v>45762.388981481483</v>
      </c>
      <c r="F178" t="s">
        <v>289</v>
      </c>
      <c r="G178" t="s">
        <v>743</v>
      </c>
      <c r="H178" t="s">
        <v>294</v>
      </c>
    </row>
    <row r="179" spans="1:8">
      <c r="A179">
        <v>0</v>
      </c>
      <c r="B179" t="s">
        <v>14</v>
      </c>
      <c r="C179" s="64">
        <v>0.3888888888888889</v>
      </c>
      <c r="D179" t="s">
        <v>255</v>
      </c>
      <c r="E179" s="65">
        <v>45762.389004629629</v>
      </c>
      <c r="F179" t="s">
        <v>289</v>
      </c>
      <c r="G179" t="s">
        <v>741</v>
      </c>
      <c r="H179" t="s">
        <v>303</v>
      </c>
    </row>
    <row r="180" spans="1:8">
      <c r="A180">
        <v>0</v>
      </c>
      <c r="B180" t="s">
        <v>14</v>
      </c>
      <c r="C180" s="64">
        <v>0.3888888888888889</v>
      </c>
      <c r="D180" t="s">
        <v>419</v>
      </c>
      <c r="E180" s="65">
        <v>45762.389016203706</v>
      </c>
      <c r="F180" t="s">
        <v>289</v>
      </c>
      <c r="G180" t="s">
        <v>420</v>
      </c>
      <c r="H180" t="s">
        <v>742</v>
      </c>
    </row>
    <row r="181" spans="1:8">
      <c r="A181">
        <v>0</v>
      </c>
      <c r="B181" t="s">
        <v>14</v>
      </c>
      <c r="C181" s="64">
        <v>0.3888888888888889</v>
      </c>
      <c r="D181" t="s">
        <v>249</v>
      </c>
      <c r="E181" s="65">
        <v>45762.389143518521</v>
      </c>
      <c r="F181" t="s">
        <v>289</v>
      </c>
      <c r="G181" t="s">
        <v>473</v>
      </c>
      <c r="H181" t="s">
        <v>291</v>
      </c>
    </row>
    <row r="182" spans="1:8">
      <c r="A182">
        <v>2</v>
      </c>
      <c r="B182" t="s">
        <v>14</v>
      </c>
      <c r="C182" s="64">
        <v>0.38472222222222219</v>
      </c>
      <c r="D182" t="s">
        <v>831</v>
      </c>
      <c r="E182" s="65">
        <v>45762.384780092594</v>
      </c>
      <c r="F182" t="s">
        <v>289</v>
      </c>
      <c r="G182" t="s">
        <v>495</v>
      </c>
      <c r="H182" t="s">
        <v>496</v>
      </c>
    </row>
    <row r="183" spans="1:8">
      <c r="A183">
        <v>2</v>
      </c>
      <c r="B183" t="s">
        <v>14</v>
      </c>
      <c r="C183" s="64">
        <v>0.38263888888888892</v>
      </c>
      <c r="D183" t="s">
        <v>631</v>
      </c>
      <c r="E183" s="65">
        <v>45762.382928240739</v>
      </c>
      <c r="F183" t="s">
        <v>289</v>
      </c>
      <c r="G183" t="s">
        <v>591</v>
      </c>
      <c r="H183" t="s">
        <v>329</v>
      </c>
    </row>
    <row r="184" spans="1:8">
      <c r="A184">
        <v>2</v>
      </c>
      <c r="B184" t="s">
        <v>14</v>
      </c>
      <c r="C184" s="64">
        <v>0.38263888888888892</v>
      </c>
      <c r="D184" t="s">
        <v>632</v>
      </c>
      <c r="E184" s="65">
        <v>45762.3828125</v>
      </c>
      <c r="F184" t="s">
        <v>289</v>
      </c>
      <c r="G184" t="s">
        <v>589</v>
      </c>
      <c r="H184" t="s">
        <v>590</v>
      </c>
    </row>
    <row r="185" spans="1:8">
      <c r="A185">
        <v>0</v>
      </c>
      <c r="B185" t="s">
        <v>14</v>
      </c>
      <c r="C185" s="64">
        <v>0.38194444444444442</v>
      </c>
      <c r="D185" t="s">
        <v>383</v>
      </c>
      <c r="E185" s="65">
        <v>45762.382118055553</v>
      </c>
      <c r="F185" t="s">
        <v>289</v>
      </c>
      <c r="G185" t="s">
        <v>384</v>
      </c>
      <c r="H185" t="s">
        <v>679</v>
      </c>
    </row>
    <row r="186" spans="1:8">
      <c r="A186">
        <v>0</v>
      </c>
      <c r="B186" t="s">
        <v>14</v>
      </c>
      <c r="C186" s="64">
        <v>0.38194444444444442</v>
      </c>
      <c r="D186" t="s">
        <v>592</v>
      </c>
      <c r="E186" s="65">
        <v>45762.382349537038</v>
      </c>
      <c r="F186" t="s">
        <v>289</v>
      </c>
      <c r="G186" t="s">
        <v>593</v>
      </c>
      <c r="H186" t="s">
        <v>294</v>
      </c>
    </row>
    <row r="187" spans="1:8">
      <c r="A187">
        <v>0</v>
      </c>
      <c r="B187" t="s">
        <v>14</v>
      </c>
      <c r="C187" s="64">
        <v>0.38194444444444442</v>
      </c>
      <c r="D187" t="s">
        <v>517</v>
      </c>
      <c r="E187" s="65">
        <v>45762.382037037038</v>
      </c>
      <c r="F187" t="s">
        <v>289</v>
      </c>
      <c r="G187" t="s">
        <v>743</v>
      </c>
      <c r="H187" t="s">
        <v>294</v>
      </c>
    </row>
    <row r="188" spans="1:8">
      <c r="A188">
        <v>0</v>
      </c>
      <c r="B188" t="s">
        <v>14</v>
      </c>
      <c r="C188" s="64">
        <v>0.38194444444444442</v>
      </c>
      <c r="D188" t="s">
        <v>385</v>
      </c>
      <c r="E188" s="65">
        <v>45762.38208333333</v>
      </c>
      <c r="F188" t="s">
        <v>289</v>
      </c>
      <c r="G188" t="s">
        <v>384</v>
      </c>
      <c r="H188" t="s">
        <v>679</v>
      </c>
    </row>
    <row r="189" spans="1:8">
      <c r="A189">
        <v>0</v>
      </c>
      <c r="B189" t="s">
        <v>14</v>
      </c>
      <c r="C189" s="64">
        <v>0.38194444444444442</v>
      </c>
      <c r="D189" t="s">
        <v>386</v>
      </c>
      <c r="E189" s="65">
        <v>45762.382094907407</v>
      </c>
      <c r="F189" t="s">
        <v>289</v>
      </c>
      <c r="G189" t="s">
        <v>384</v>
      </c>
      <c r="H189" t="s">
        <v>679</v>
      </c>
    </row>
    <row r="190" spans="1:8">
      <c r="A190">
        <v>0</v>
      </c>
      <c r="B190" t="s">
        <v>14</v>
      </c>
      <c r="C190" s="64">
        <v>0.38194444444444442</v>
      </c>
      <c r="D190" t="s">
        <v>594</v>
      </c>
      <c r="E190" s="65">
        <v>45762.382013888891</v>
      </c>
      <c r="F190" t="s">
        <v>289</v>
      </c>
      <c r="G190" t="s">
        <v>374</v>
      </c>
      <c r="H190" t="s">
        <v>291</v>
      </c>
    </row>
    <row r="191" spans="1:8">
      <c r="A191">
        <v>0</v>
      </c>
      <c r="B191" t="s">
        <v>14</v>
      </c>
      <c r="C191" s="64">
        <v>0.38194444444444442</v>
      </c>
      <c r="D191" t="s">
        <v>366</v>
      </c>
      <c r="E191" s="65">
        <v>45762.382025462961</v>
      </c>
      <c r="F191" t="s">
        <v>289</v>
      </c>
      <c r="G191" t="s">
        <v>393</v>
      </c>
      <c r="H191" t="s">
        <v>291</v>
      </c>
    </row>
    <row r="192" spans="1:8">
      <c r="A192">
        <v>2</v>
      </c>
      <c r="B192" t="s">
        <v>14</v>
      </c>
      <c r="C192" s="64">
        <v>0.37986111111111115</v>
      </c>
      <c r="D192" t="s">
        <v>633</v>
      </c>
      <c r="E192" s="65">
        <v>45762.379791666666</v>
      </c>
      <c r="F192" t="s">
        <v>289</v>
      </c>
      <c r="G192" t="s">
        <v>759</v>
      </c>
      <c r="H192" t="s">
        <v>294</v>
      </c>
    </row>
    <row r="193" spans="1:8">
      <c r="A193">
        <v>2</v>
      </c>
      <c r="B193" t="s">
        <v>14</v>
      </c>
      <c r="C193" s="64">
        <v>0.37847222222222227</v>
      </c>
      <c r="D193" t="s">
        <v>832</v>
      </c>
      <c r="E193" s="65">
        <v>45762.379120370373</v>
      </c>
      <c r="F193" t="s">
        <v>289</v>
      </c>
      <c r="G193" t="s">
        <v>442</v>
      </c>
      <c r="H193" t="s">
        <v>679</v>
      </c>
    </row>
    <row r="194" spans="1:8">
      <c r="A194">
        <v>2</v>
      </c>
      <c r="B194" t="s">
        <v>14</v>
      </c>
      <c r="C194" s="64">
        <v>0.3756944444444445</v>
      </c>
      <c r="D194" t="s">
        <v>634</v>
      </c>
      <c r="E194" s="65">
        <v>45762.375810185185</v>
      </c>
      <c r="F194" t="s">
        <v>289</v>
      </c>
      <c r="G194" t="s">
        <v>744</v>
      </c>
      <c r="H194" t="s">
        <v>294</v>
      </c>
    </row>
    <row r="195" spans="1:8">
      <c r="A195">
        <v>0</v>
      </c>
      <c r="B195" t="s">
        <v>14</v>
      </c>
      <c r="C195" s="64">
        <v>0.3756944444444445</v>
      </c>
      <c r="D195" t="s">
        <v>16</v>
      </c>
      <c r="E195" s="65">
        <v>45762.376226851855</v>
      </c>
      <c r="F195" t="s">
        <v>289</v>
      </c>
      <c r="G195" t="s">
        <v>595</v>
      </c>
      <c r="H195" t="s">
        <v>291</v>
      </c>
    </row>
    <row r="196" spans="1:8">
      <c r="A196">
        <v>0</v>
      </c>
      <c r="B196" t="s">
        <v>14</v>
      </c>
      <c r="C196" s="64">
        <v>0.3756944444444445</v>
      </c>
      <c r="D196" t="s">
        <v>833</v>
      </c>
      <c r="E196" s="65">
        <v>45762.375694444447</v>
      </c>
      <c r="F196" t="s">
        <v>289</v>
      </c>
      <c r="G196" t="s">
        <v>334</v>
      </c>
      <c r="H196" t="s">
        <v>291</v>
      </c>
    </row>
    <row r="197" spans="1:8">
      <c r="A197">
        <v>0</v>
      </c>
      <c r="B197" t="s">
        <v>14</v>
      </c>
      <c r="C197" s="64">
        <v>0.375</v>
      </c>
      <c r="D197" t="s">
        <v>363</v>
      </c>
      <c r="E197" s="65">
        <v>45762.375428240739</v>
      </c>
      <c r="F197" t="s">
        <v>289</v>
      </c>
      <c r="G197" t="s">
        <v>372</v>
      </c>
      <c r="H197" t="s">
        <v>742</v>
      </c>
    </row>
    <row r="198" spans="1:8">
      <c r="A198">
        <v>0</v>
      </c>
      <c r="B198" t="s">
        <v>14</v>
      </c>
      <c r="C198" s="64">
        <v>0.375</v>
      </c>
      <c r="D198" t="s">
        <v>596</v>
      </c>
      <c r="E198" s="65">
        <v>45762.375462962962</v>
      </c>
      <c r="F198" t="s">
        <v>289</v>
      </c>
      <c r="G198" t="s">
        <v>593</v>
      </c>
      <c r="H198" t="s">
        <v>294</v>
      </c>
    </row>
    <row r="199" spans="1:8">
      <c r="A199">
        <v>0</v>
      </c>
      <c r="B199" t="s">
        <v>14</v>
      </c>
      <c r="C199" s="64">
        <v>0.375</v>
      </c>
      <c r="D199" t="s">
        <v>474</v>
      </c>
      <c r="E199" s="65">
        <v>45762.375324074077</v>
      </c>
      <c r="F199" t="s">
        <v>289</v>
      </c>
      <c r="G199" t="s">
        <v>745</v>
      </c>
      <c r="H199" t="s">
        <v>294</v>
      </c>
    </row>
    <row r="200" spans="1:8">
      <c r="A200">
        <v>0</v>
      </c>
      <c r="B200" t="s">
        <v>14</v>
      </c>
      <c r="C200" s="64">
        <v>0.375</v>
      </c>
      <c r="D200" t="s">
        <v>518</v>
      </c>
      <c r="E200" s="65">
        <v>45762.375358796293</v>
      </c>
      <c r="F200" t="s">
        <v>289</v>
      </c>
      <c r="G200" t="s">
        <v>743</v>
      </c>
      <c r="H200" t="s">
        <v>294</v>
      </c>
    </row>
    <row r="201" spans="1:8">
      <c r="A201">
        <v>0</v>
      </c>
      <c r="B201" t="s">
        <v>14</v>
      </c>
      <c r="C201" s="64">
        <v>0.375</v>
      </c>
      <c r="D201" t="s">
        <v>330</v>
      </c>
      <c r="E201" s="65">
        <v>45762.375069444446</v>
      </c>
      <c r="F201" t="s">
        <v>289</v>
      </c>
      <c r="G201" t="s">
        <v>331</v>
      </c>
      <c r="H201" t="s">
        <v>475</v>
      </c>
    </row>
    <row r="202" spans="1:8">
      <c r="A202">
        <v>0</v>
      </c>
      <c r="B202" t="s">
        <v>14</v>
      </c>
      <c r="C202" s="64">
        <v>0.375</v>
      </c>
      <c r="D202" t="s">
        <v>408</v>
      </c>
      <c r="E202" s="65">
        <v>45762.375243055554</v>
      </c>
      <c r="F202" t="s">
        <v>289</v>
      </c>
      <c r="G202" t="s">
        <v>409</v>
      </c>
      <c r="H202" t="s">
        <v>293</v>
      </c>
    </row>
    <row r="203" spans="1:8">
      <c r="A203">
        <v>0</v>
      </c>
      <c r="B203" t="s">
        <v>14</v>
      </c>
      <c r="C203" s="64">
        <v>0.375</v>
      </c>
      <c r="D203" t="s">
        <v>332</v>
      </c>
      <c r="E203" s="65">
        <v>45762.375254629631</v>
      </c>
      <c r="F203" t="s">
        <v>289</v>
      </c>
      <c r="G203" t="s">
        <v>333</v>
      </c>
      <c r="H203" t="s">
        <v>293</v>
      </c>
    </row>
    <row r="204" spans="1:8">
      <c r="A204">
        <v>2</v>
      </c>
      <c r="B204" t="s">
        <v>14</v>
      </c>
      <c r="C204" s="64">
        <v>0.37222222222222223</v>
      </c>
      <c r="D204" t="s">
        <v>635</v>
      </c>
      <c r="E204" s="65">
        <v>45762.372557870367</v>
      </c>
      <c r="F204" t="s">
        <v>289</v>
      </c>
      <c r="G204" t="s">
        <v>597</v>
      </c>
      <c r="H204" t="s">
        <v>329</v>
      </c>
    </row>
    <row r="205" spans="1:8">
      <c r="A205">
        <v>2</v>
      </c>
      <c r="B205" t="s">
        <v>14</v>
      </c>
      <c r="C205" s="64">
        <v>0.37222222222222223</v>
      </c>
      <c r="D205" t="s">
        <v>660</v>
      </c>
      <c r="E205" s="65">
        <v>45762.372418981482</v>
      </c>
      <c r="F205" t="s">
        <v>289</v>
      </c>
      <c r="G205" s="66" t="s">
        <v>598</v>
      </c>
      <c r="H205" t="s">
        <v>422</v>
      </c>
    </row>
    <row r="206" spans="1:8">
      <c r="A206">
        <v>1</v>
      </c>
      <c r="B206" t="s">
        <v>14</v>
      </c>
      <c r="C206" s="64">
        <v>0.36874999999999997</v>
      </c>
      <c r="D206" t="s">
        <v>93</v>
      </c>
      <c r="E206" s="65">
        <v>45762.368449074071</v>
      </c>
      <c r="F206" t="s">
        <v>289</v>
      </c>
      <c r="G206" t="s">
        <v>476</v>
      </c>
      <c r="H206" t="s">
        <v>441</v>
      </c>
    </row>
    <row r="207" spans="1:8">
      <c r="A207">
        <v>0</v>
      </c>
      <c r="B207" t="s">
        <v>14</v>
      </c>
      <c r="C207" s="64">
        <v>0.36805555555555558</v>
      </c>
      <c r="D207" t="s">
        <v>519</v>
      </c>
      <c r="E207" s="65">
        <v>45762.368148148147</v>
      </c>
      <c r="F207" t="s">
        <v>289</v>
      </c>
      <c r="G207" t="s">
        <v>743</v>
      </c>
      <c r="H207" t="s">
        <v>294</v>
      </c>
    </row>
    <row r="208" spans="1:8">
      <c r="A208">
        <v>2</v>
      </c>
      <c r="B208" t="s">
        <v>14</v>
      </c>
      <c r="C208" s="64">
        <v>0.36527777777777781</v>
      </c>
      <c r="D208" t="s">
        <v>636</v>
      </c>
      <c r="E208" s="65">
        <v>45762.36546296296</v>
      </c>
      <c r="F208" t="s">
        <v>289</v>
      </c>
      <c r="G208" s="66" t="s">
        <v>600</v>
      </c>
      <c r="H208" t="s">
        <v>303</v>
      </c>
    </row>
    <row r="209" spans="1:8">
      <c r="A209">
        <v>2</v>
      </c>
      <c r="B209" t="s">
        <v>14</v>
      </c>
      <c r="C209" s="64">
        <v>0.36527777777777781</v>
      </c>
      <c r="D209" t="s">
        <v>637</v>
      </c>
      <c r="E209" s="65">
        <v>45762.365798611114</v>
      </c>
      <c r="F209" t="s">
        <v>289</v>
      </c>
      <c r="G209" t="s">
        <v>599</v>
      </c>
      <c r="H209" t="s">
        <v>293</v>
      </c>
    </row>
    <row r="210" spans="1:8">
      <c r="A210">
        <v>1</v>
      </c>
      <c r="B210" t="s">
        <v>14</v>
      </c>
      <c r="C210" s="64">
        <v>0.36458333333333331</v>
      </c>
      <c r="D210" t="s">
        <v>335</v>
      </c>
      <c r="E210" s="65">
        <v>45762.364699074074</v>
      </c>
      <c r="F210" t="s">
        <v>289</v>
      </c>
      <c r="G210" t="s">
        <v>484</v>
      </c>
      <c r="H210" t="s">
        <v>336</v>
      </c>
    </row>
    <row r="211" spans="1:8">
      <c r="A211">
        <v>2</v>
      </c>
      <c r="B211" t="s">
        <v>14</v>
      </c>
      <c r="C211" s="64">
        <v>0.36249999999999999</v>
      </c>
      <c r="D211" t="s">
        <v>638</v>
      </c>
      <c r="E211" s="65">
        <v>45762.362442129626</v>
      </c>
      <c r="F211" t="s">
        <v>289</v>
      </c>
      <c r="G211" t="s">
        <v>601</v>
      </c>
      <c r="H211" t="s">
        <v>293</v>
      </c>
    </row>
    <row r="212" spans="1:8">
      <c r="A212">
        <v>2</v>
      </c>
      <c r="B212" t="s">
        <v>14</v>
      </c>
      <c r="C212" s="64">
        <v>0.36180555555555555</v>
      </c>
      <c r="D212" t="s">
        <v>746</v>
      </c>
      <c r="E212" s="65">
        <v>45762.361932870372</v>
      </c>
      <c r="F212" t="s">
        <v>289</v>
      </c>
      <c r="G212" t="s">
        <v>747</v>
      </c>
      <c r="H212" t="s">
        <v>294</v>
      </c>
    </row>
    <row r="213" spans="1:8">
      <c r="A213">
        <v>1</v>
      </c>
      <c r="B213" t="s">
        <v>14</v>
      </c>
      <c r="C213" s="64">
        <v>0.35902777777777778</v>
      </c>
      <c r="D213" t="s">
        <v>639</v>
      </c>
      <c r="E213" s="65">
        <v>45762.359027777777</v>
      </c>
      <c r="F213" t="s">
        <v>289</v>
      </c>
      <c r="G213" t="s">
        <v>508</v>
      </c>
      <c r="H213" t="s">
        <v>292</v>
      </c>
    </row>
    <row r="214" spans="1:8">
      <c r="A214">
        <v>0</v>
      </c>
      <c r="B214" t="s">
        <v>14</v>
      </c>
      <c r="C214" s="64">
        <v>0.3576388888888889</v>
      </c>
      <c r="D214" t="s">
        <v>748</v>
      </c>
      <c r="E214" s="65">
        <v>45762.358032407406</v>
      </c>
      <c r="F214" t="s">
        <v>289</v>
      </c>
      <c r="G214" t="s">
        <v>749</v>
      </c>
      <c r="H214" t="s">
        <v>322</v>
      </c>
    </row>
    <row r="215" spans="1:8">
      <c r="A215">
        <v>2</v>
      </c>
      <c r="B215" t="s">
        <v>14</v>
      </c>
      <c r="C215" s="64">
        <v>0.35625000000000001</v>
      </c>
      <c r="D215" t="s">
        <v>640</v>
      </c>
      <c r="E215" s="65">
        <v>45762.356527777774</v>
      </c>
      <c r="F215" t="s">
        <v>289</v>
      </c>
      <c r="G215" t="s">
        <v>443</v>
      </c>
      <c r="H215" t="s">
        <v>294</v>
      </c>
    </row>
    <row r="216" spans="1:8">
      <c r="A216">
        <v>1</v>
      </c>
      <c r="B216" t="s">
        <v>14</v>
      </c>
      <c r="C216" s="64">
        <v>0.35555555555555557</v>
      </c>
      <c r="D216" t="s">
        <v>834</v>
      </c>
      <c r="E216" s="65">
        <v>45762.356076388889</v>
      </c>
      <c r="F216" t="s">
        <v>289</v>
      </c>
      <c r="G216" t="s">
        <v>755</v>
      </c>
      <c r="H216" t="s">
        <v>292</v>
      </c>
    </row>
    <row r="217" spans="1:8">
      <c r="A217">
        <v>2</v>
      </c>
      <c r="B217" t="s">
        <v>14</v>
      </c>
      <c r="C217" s="64">
        <v>0.35486111111111113</v>
      </c>
      <c r="D217" t="s">
        <v>641</v>
      </c>
      <c r="E217" s="65">
        <v>45762.355497685188</v>
      </c>
      <c r="F217" t="s">
        <v>289</v>
      </c>
      <c r="G217" t="s">
        <v>602</v>
      </c>
      <c r="H217" t="s">
        <v>329</v>
      </c>
    </row>
    <row r="218" spans="1:8">
      <c r="A218">
        <v>0</v>
      </c>
      <c r="B218" t="s">
        <v>14</v>
      </c>
      <c r="C218" s="64">
        <v>0.35486111111111113</v>
      </c>
      <c r="D218" t="s">
        <v>479</v>
      </c>
      <c r="E218" s="65">
        <v>45762.354861111111</v>
      </c>
      <c r="F218" t="s">
        <v>289</v>
      </c>
      <c r="G218" t="s">
        <v>480</v>
      </c>
      <c r="H218" t="s">
        <v>294</v>
      </c>
    </row>
    <row r="219" spans="1:8">
      <c r="A219">
        <v>0</v>
      </c>
      <c r="B219" t="s">
        <v>14</v>
      </c>
      <c r="C219" s="64">
        <v>0.35416666666666669</v>
      </c>
      <c r="D219" t="s">
        <v>477</v>
      </c>
      <c r="E219" s="65">
        <v>45762.354305555556</v>
      </c>
      <c r="F219" t="s">
        <v>289</v>
      </c>
      <c r="G219" t="s">
        <v>478</v>
      </c>
      <c r="H219" t="s">
        <v>294</v>
      </c>
    </row>
    <row r="220" spans="1:8">
      <c r="A220">
        <v>0</v>
      </c>
      <c r="B220" t="s">
        <v>14</v>
      </c>
      <c r="C220" s="64">
        <v>0.35416666666666669</v>
      </c>
      <c r="D220" t="s">
        <v>117</v>
      </c>
      <c r="E220" s="65">
        <v>45762.354270833333</v>
      </c>
      <c r="F220" t="s">
        <v>289</v>
      </c>
      <c r="G220" t="s">
        <v>750</v>
      </c>
      <c r="H220" t="s">
        <v>291</v>
      </c>
    </row>
    <row r="221" spans="1:8">
      <c r="A221">
        <v>0</v>
      </c>
      <c r="B221" t="s">
        <v>14</v>
      </c>
      <c r="C221" s="64">
        <v>0.35416666666666669</v>
      </c>
      <c r="D221" t="s">
        <v>337</v>
      </c>
      <c r="E221" s="65">
        <v>45762.354247685187</v>
      </c>
      <c r="F221" t="s">
        <v>289</v>
      </c>
      <c r="G221" t="s">
        <v>752</v>
      </c>
      <c r="H221" t="s">
        <v>347</v>
      </c>
    </row>
    <row r="222" spans="1:8">
      <c r="A222">
        <v>0</v>
      </c>
      <c r="B222" t="s">
        <v>14</v>
      </c>
      <c r="C222" s="64">
        <v>0.35416666666666669</v>
      </c>
      <c r="D222" t="s">
        <v>250</v>
      </c>
      <c r="E222" s="65">
        <v>45762.35423611111</v>
      </c>
      <c r="F222" t="s">
        <v>289</v>
      </c>
      <c r="G222" t="s">
        <v>751</v>
      </c>
      <c r="H222" t="s">
        <v>291</v>
      </c>
    </row>
    <row r="223" spans="1:8">
      <c r="A223">
        <v>2</v>
      </c>
      <c r="B223" t="s">
        <v>14</v>
      </c>
      <c r="C223" s="64">
        <v>0.35138888888888892</v>
      </c>
      <c r="D223" t="s">
        <v>642</v>
      </c>
      <c r="E223" s="65">
        <v>45762.351666666669</v>
      </c>
      <c r="F223" t="s">
        <v>289</v>
      </c>
      <c r="G223" t="s">
        <v>603</v>
      </c>
      <c r="H223" t="s">
        <v>293</v>
      </c>
    </row>
    <row r="224" spans="1:8">
      <c r="A224">
        <v>0</v>
      </c>
      <c r="B224" t="s">
        <v>14</v>
      </c>
      <c r="C224" s="64">
        <v>0.34861111111111115</v>
      </c>
      <c r="D224" t="s">
        <v>520</v>
      </c>
      <c r="E224" s="65">
        <v>45762.348726851851</v>
      </c>
      <c r="F224" t="s">
        <v>289</v>
      </c>
      <c r="G224" t="s">
        <v>521</v>
      </c>
      <c r="H224" t="s">
        <v>522</v>
      </c>
    </row>
    <row r="225" spans="1:8">
      <c r="A225">
        <v>0</v>
      </c>
      <c r="B225" t="s">
        <v>14</v>
      </c>
      <c r="C225" s="64">
        <v>0.34722222222222227</v>
      </c>
      <c r="D225" t="s">
        <v>523</v>
      </c>
      <c r="E225" s="65">
        <v>45762.347349537034</v>
      </c>
      <c r="F225" t="s">
        <v>289</v>
      </c>
      <c r="G225" t="s">
        <v>604</v>
      </c>
      <c r="H225" t="s">
        <v>294</v>
      </c>
    </row>
    <row r="226" spans="1:8">
      <c r="A226">
        <v>2</v>
      </c>
      <c r="B226" t="s">
        <v>14</v>
      </c>
      <c r="C226" s="64">
        <v>0.3444444444444445</v>
      </c>
      <c r="D226" t="s">
        <v>644</v>
      </c>
      <c r="E226" s="65">
        <v>45762.344699074078</v>
      </c>
      <c r="F226" t="s">
        <v>289</v>
      </c>
      <c r="G226" t="s">
        <v>753</v>
      </c>
      <c r="H226" t="s">
        <v>494</v>
      </c>
    </row>
    <row r="227" spans="1:8">
      <c r="A227">
        <v>2</v>
      </c>
      <c r="B227" t="s">
        <v>14</v>
      </c>
      <c r="C227" s="64">
        <v>0.3444444444444445</v>
      </c>
      <c r="D227" t="s">
        <v>643</v>
      </c>
      <c r="E227" s="65">
        <v>45762.344618055555</v>
      </c>
      <c r="F227" t="s">
        <v>289</v>
      </c>
      <c r="G227" t="s">
        <v>605</v>
      </c>
      <c r="H227" t="s">
        <v>303</v>
      </c>
    </row>
    <row r="228" spans="1:8">
      <c r="A228">
        <v>1</v>
      </c>
      <c r="B228" t="s">
        <v>14</v>
      </c>
      <c r="C228" s="64">
        <v>0.34166666666666662</v>
      </c>
      <c r="D228" t="s">
        <v>481</v>
      </c>
      <c r="E228" s="65">
        <v>45762.341886574075</v>
      </c>
      <c r="F228" t="s">
        <v>289</v>
      </c>
      <c r="G228" t="s">
        <v>524</v>
      </c>
      <c r="H228" t="s">
        <v>293</v>
      </c>
    </row>
    <row r="229" spans="1:8">
      <c r="A229">
        <v>2</v>
      </c>
      <c r="B229" t="s">
        <v>14</v>
      </c>
      <c r="C229" s="64">
        <v>0.34097222222222223</v>
      </c>
      <c r="D229" t="s">
        <v>645</v>
      </c>
      <c r="E229" s="65">
        <v>45762.341435185182</v>
      </c>
      <c r="F229" t="s">
        <v>289</v>
      </c>
      <c r="G229" t="s">
        <v>609</v>
      </c>
      <c r="H229" t="s">
        <v>293</v>
      </c>
    </row>
    <row r="230" spans="1:8">
      <c r="A230">
        <v>0</v>
      </c>
      <c r="B230" t="s">
        <v>14</v>
      </c>
      <c r="C230" s="64">
        <v>0.34027777777777773</v>
      </c>
      <c r="D230" t="s">
        <v>338</v>
      </c>
      <c r="E230" s="65">
        <v>45762.340358796297</v>
      </c>
      <c r="F230" t="s">
        <v>289</v>
      </c>
      <c r="G230" t="s">
        <v>339</v>
      </c>
      <c r="H230" t="s">
        <v>340</v>
      </c>
    </row>
    <row r="231" spans="1:8">
      <c r="A231">
        <v>2</v>
      </c>
      <c r="B231" t="s">
        <v>14</v>
      </c>
      <c r="C231" s="64">
        <v>0.33749999999999997</v>
      </c>
      <c r="D231" t="s">
        <v>646</v>
      </c>
      <c r="E231" s="65">
        <v>45762.337916666664</v>
      </c>
      <c r="F231" t="s">
        <v>289</v>
      </c>
      <c r="G231" t="s">
        <v>608</v>
      </c>
      <c r="H231" t="s">
        <v>329</v>
      </c>
    </row>
    <row r="232" spans="1:8">
      <c r="A232">
        <v>2</v>
      </c>
      <c r="B232" t="s">
        <v>14</v>
      </c>
      <c r="C232" s="64">
        <v>0.33402777777777781</v>
      </c>
      <c r="D232" t="s">
        <v>647</v>
      </c>
      <c r="E232" s="65">
        <v>45762.334548611114</v>
      </c>
      <c r="F232" t="s">
        <v>289</v>
      </c>
      <c r="G232" t="s">
        <v>607</v>
      </c>
      <c r="H232" t="s">
        <v>293</v>
      </c>
    </row>
    <row r="233" spans="1:8">
      <c r="A233">
        <v>0</v>
      </c>
      <c r="B233" t="s">
        <v>14</v>
      </c>
      <c r="C233" s="64">
        <v>0.33333333333333331</v>
      </c>
      <c r="D233" t="s">
        <v>342</v>
      </c>
      <c r="E233" s="65">
        <v>45762.33357638889</v>
      </c>
      <c r="F233" t="s">
        <v>289</v>
      </c>
      <c r="G233" t="s">
        <v>410</v>
      </c>
      <c r="H233" t="s">
        <v>293</v>
      </c>
    </row>
    <row r="234" spans="1:8">
      <c r="A234">
        <v>0</v>
      </c>
      <c r="B234" t="s">
        <v>14</v>
      </c>
      <c r="C234" s="64">
        <v>0.33333333333333331</v>
      </c>
      <c r="D234" t="s">
        <v>525</v>
      </c>
      <c r="E234" s="65">
        <v>45762.333553240744</v>
      </c>
      <c r="F234" t="s">
        <v>289</v>
      </c>
      <c r="G234" t="s">
        <v>526</v>
      </c>
      <c r="H234" t="s">
        <v>295</v>
      </c>
    </row>
    <row r="235" spans="1:8">
      <c r="A235">
        <v>1</v>
      </c>
      <c r="B235" t="s">
        <v>14</v>
      </c>
      <c r="C235" s="64">
        <v>0.33194444444444443</v>
      </c>
      <c r="D235" t="s">
        <v>106</v>
      </c>
      <c r="E235" s="65">
        <v>45762.332187499997</v>
      </c>
      <c r="F235" t="s">
        <v>289</v>
      </c>
      <c r="G235" t="s">
        <v>346</v>
      </c>
      <c r="H235" t="s">
        <v>606</v>
      </c>
    </row>
    <row r="236" spans="1:8">
      <c r="A236">
        <v>0</v>
      </c>
      <c r="B236" t="s">
        <v>14</v>
      </c>
      <c r="C236" s="64">
        <v>0.3125</v>
      </c>
      <c r="D236" t="s">
        <v>527</v>
      </c>
      <c r="E236" s="65">
        <v>45762.312638888892</v>
      </c>
      <c r="F236" t="s">
        <v>289</v>
      </c>
      <c r="G236" t="s">
        <v>423</v>
      </c>
      <c r="H236" t="s">
        <v>294</v>
      </c>
    </row>
    <row r="237" spans="1:8">
      <c r="A237">
        <v>0</v>
      </c>
      <c r="B237" t="s">
        <v>14</v>
      </c>
      <c r="C237" s="64">
        <v>0.30555555555555552</v>
      </c>
      <c r="D237" t="s">
        <v>528</v>
      </c>
      <c r="E237" s="65">
        <v>45762.305787037039</v>
      </c>
      <c r="F237" t="s">
        <v>289</v>
      </c>
      <c r="G237" t="s">
        <v>529</v>
      </c>
      <c r="H237" t="s">
        <v>295</v>
      </c>
    </row>
    <row r="238" spans="1:8">
      <c r="A238">
        <v>0</v>
      </c>
      <c r="B238" t="s">
        <v>14</v>
      </c>
      <c r="C238" s="64">
        <v>0.30555555555555552</v>
      </c>
      <c r="D238" t="s">
        <v>530</v>
      </c>
      <c r="E238" s="65">
        <v>45762.305625000001</v>
      </c>
      <c r="F238" t="s">
        <v>289</v>
      </c>
      <c r="G238" t="s">
        <v>531</v>
      </c>
      <c r="H238" t="s">
        <v>295</v>
      </c>
    </row>
    <row r="239" spans="1:8">
      <c r="A239">
        <v>0</v>
      </c>
      <c r="B239" t="s">
        <v>14</v>
      </c>
      <c r="C239" s="64">
        <v>0.29930555555555555</v>
      </c>
      <c r="D239" t="s">
        <v>532</v>
      </c>
      <c r="E239" s="65">
        <v>45762.299722222226</v>
      </c>
      <c r="F239" t="s">
        <v>289</v>
      </c>
      <c r="G239" t="s">
        <v>533</v>
      </c>
      <c r="H239" t="s">
        <v>295</v>
      </c>
    </row>
    <row r="240" spans="1:8">
      <c r="A240">
        <v>0</v>
      </c>
      <c r="B240" t="s">
        <v>14</v>
      </c>
      <c r="C240" s="64">
        <v>0.29166666666666669</v>
      </c>
      <c r="D240" t="s">
        <v>341</v>
      </c>
      <c r="E240" s="65">
        <v>45762.291770833333</v>
      </c>
      <c r="F240" t="s">
        <v>289</v>
      </c>
      <c r="G240" t="s">
        <v>356</v>
      </c>
      <c r="H240" t="s">
        <v>293</v>
      </c>
    </row>
    <row r="241" spans="1:8">
      <c r="A241">
        <v>2</v>
      </c>
      <c r="B241" t="s">
        <v>14</v>
      </c>
      <c r="C241" s="64">
        <v>0.28888888888888892</v>
      </c>
      <c r="D241" t="s">
        <v>648</v>
      </c>
      <c r="E241" s="65">
        <v>45762.2890625</v>
      </c>
      <c r="F241" t="s">
        <v>289</v>
      </c>
      <c r="G241" t="s">
        <v>610</v>
      </c>
      <c r="H241" t="s">
        <v>424</v>
      </c>
    </row>
  </sheetData>
  <sortState ref="A2:H388">
    <sortCondition descending="1" ref="C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130"/>
  <sheetViews>
    <sheetView tabSelected="1" topLeftCell="D1" zoomScaleNormal="100" workbookViewId="0">
      <pane ySplit="1" topLeftCell="A6" activePane="bottomLeft" state="frozen"/>
      <selection pane="bottomLeft" activeCell="F6" sqref="F6"/>
    </sheetView>
  </sheetViews>
  <sheetFormatPr defaultRowHeight="12.75"/>
  <cols>
    <col min="1" max="1" width="9.140625" style="19"/>
    <col min="2" max="2" width="20.5703125" style="12" customWidth="1"/>
    <col min="3" max="3" width="16.28515625" style="12" bestFit="1" customWidth="1"/>
    <col min="4" max="4" width="48.5703125" style="12" bestFit="1" customWidth="1"/>
    <col min="5" max="5" width="60.28515625" style="12" bestFit="1" customWidth="1"/>
    <col min="6" max="6" width="11.28515625" style="19" bestFit="1" customWidth="1"/>
    <col min="7" max="7" width="11.28515625" style="12" bestFit="1" customWidth="1"/>
    <col min="8" max="8" width="9.28515625" style="19" bestFit="1" customWidth="1"/>
    <col min="9" max="9" width="8" style="12" customWidth="1"/>
    <col min="10" max="10" width="27.7109375" style="12" customWidth="1"/>
    <col min="11" max="11" width="11.85546875" style="12" customWidth="1"/>
    <col min="12" max="12" width="11.28515625" style="12" bestFit="1" customWidth="1"/>
    <col min="13" max="13" width="11.28515625" style="12" customWidth="1"/>
    <col min="14" max="14" width="10.28515625" style="19" bestFit="1" customWidth="1"/>
    <col min="15" max="15" width="9.140625" style="19"/>
    <col min="16" max="16" width="10.140625" style="19" bestFit="1" customWidth="1"/>
    <col min="17" max="17" width="45.140625" style="19" bestFit="1" customWidth="1"/>
    <col min="18" max="16384" width="9.140625" style="19"/>
  </cols>
  <sheetData>
    <row r="1" spans="2:17" s="12" customFormat="1" ht="39.75" customHeight="1">
      <c r="B1" s="7" t="s">
        <v>13</v>
      </c>
      <c r="C1" s="22" t="s">
        <v>22</v>
      </c>
      <c r="D1" s="22" t="s">
        <v>10</v>
      </c>
      <c r="E1" s="22" t="s">
        <v>11</v>
      </c>
      <c r="F1" s="21" t="s">
        <v>9</v>
      </c>
      <c r="G1" s="21" t="s">
        <v>17</v>
      </c>
      <c r="H1" s="21" t="s">
        <v>8</v>
      </c>
      <c r="I1" s="22" t="s">
        <v>12</v>
      </c>
      <c r="J1" s="22" t="s">
        <v>20</v>
      </c>
      <c r="K1" s="21" t="s">
        <v>19</v>
      </c>
      <c r="L1" s="17" t="s">
        <v>49</v>
      </c>
      <c r="M1" s="85" t="s">
        <v>15</v>
      </c>
    </row>
    <row r="2" spans="2:17" s="53" customFormat="1" ht="12.75" hidden="1" customHeight="1">
      <c r="B2" s="54"/>
      <c r="C2" s="40" t="s">
        <v>239</v>
      </c>
      <c r="D2" s="41" t="s">
        <v>195</v>
      </c>
      <c r="E2" s="55" t="s">
        <v>116</v>
      </c>
      <c r="F2" s="42">
        <v>0.30624999999999997</v>
      </c>
      <c r="G2" s="41" t="str">
        <f>IF(E2&gt;0,IFERROR(INDEX(All_Mails!$B:$B,MATCH($E2,All_Mails!$D:$D,0)),"Not Found"),"n/a")</f>
        <v>Not Found</v>
      </c>
      <c r="H2" s="43" t="str">
        <f>IFERROR(INDEX(All_Mails!$C:$C,MATCH($E2,All_Mails!$D:$D,0)),"")</f>
        <v/>
      </c>
      <c r="I2" s="48"/>
      <c r="J2" s="43" t="s">
        <v>196</v>
      </c>
      <c r="K2" s="45" t="s">
        <v>18</v>
      </c>
      <c r="L2" s="41" t="s">
        <v>52</v>
      </c>
      <c r="M2" s="86"/>
      <c r="N2" s="25" t="s">
        <v>156</v>
      </c>
    </row>
    <row r="3" spans="2:17" s="12" customFormat="1" ht="12.75" hidden="1" customHeight="1">
      <c r="B3" s="16" t="s">
        <v>53</v>
      </c>
      <c r="C3" s="11" t="s">
        <v>239</v>
      </c>
      <c r="D3" s="16" t="s">
        <v>197</v>
      </c>
      <c r="E3" s="27" t="s">
        <v>120</v>
      </c>
      <c r="F3" s="13">
        <v>0.40277777777777773</v>
      </c>
      <c r="G3" s="16" t="str">
        <f>IF(E3&gt;0,IFERROR(INDEX(All_Mails!$B:$B,MATCH($E3,All_Mails!$D:$D,0)),"Not Found"),"n/a")</f>
        <v>Yes</v>
      </c>
      <c r="H3" s="14">
        <f>IFERROR(INDEX(All_Mails!$C:$C,MATCH($E3,All_Mails!$D:$D,0)),"")</f>
        <v>0.40277777777777773</v>
      </c>
      <c r="I3" s="47"/>
      <c r="J3" s="14" t="s">
        <v>198</v>
      </c>
      <c r="K3" s="20" t="s">
        <v>18</v>
      </c>
      <c r="L3" s="16" t="s">
        <v>52</v>
      </c>
      <c r="M3" s="28"/>
      <c r="N3" s="19"/>
    </row>
    <row r="4" spans="2:17" s="12" customFormat="1" ht="12.75" hidden="1" customHeight="1">
      <c r="B4" s="17"/>
      <c r="C4" s="11" t="s">
        <v>239</v>
      </c>
      <c r="D4" s="16" t="s">
        <v>199</v>
      </c>
      <c r="E4" s="27" t="s">
        <v>190</v>
      </c>
      <c r="F4" s="13">
        <v>0.42708333333333331</v>
      </c>
      <c r="G4" s="16" t="str">
        <f>IF(E4&gt;0,IFERROR(INDEX(All_Mails!$B:$B,MATCH($E4,All_Mails!$D:$D,0)),"Not Found"),"n/a")</f>
        <v>Yes</v>
      </c>
      <c r="H4" s="14">
        <f>IFERROR(INDEX(All_Mails!$C:$C,MATCH($E4,All_Mails!$D:$D,0)),"")</f>
        <v>0.42152777777777778</v>
      </c>
      <c r="I4" s="47"/>
      <c r="J4" s="14" t="s">
        <v>200</v>
      </c>
      <c r="K4" s="20" t="s">
        <v>18</v>
      </c>
      <c r="L4" s="16" t="s">
        <v>52</v>
      </c>
      <c r="M4" s="28"/>
      <c r="N4" s="19"/>
    </row>
    <row r="5" spans="2:17" s="12" customFormat="1" ht="12.75" hidden="1" customHeight="1">
      <c r="B5" s="17"/>
      <c r="C5" s="11" t="s">
        <v>239</v>
      </c>
      <c r="D5" s="16" t="s">
        <v>201</v>
      </c>
      <c r="E5" s="27" t="s">
        <v>201</v>
      </c>
      <c r="F5" s="13">
        <v>0.44791666666666669</v>
      </c>
      <c r="G5" s="16" t="str">
        <f>IF(F5&gt;0,IFERROR(INDEX([1]All_Mails!$B:$B,MATCH($D5,[1]All_Mails!$D:$D,0)),"Not Found"),"n/a")</f>
        <v>Not Found</v>
      </c>
      <c r="H5" s="14" t="str">
        <f>IFERROR(INDEX([1]All_Mails!$C:$C,MATCH($D5,[1]All_Mails!$D:$D,0)),"")</f>
        <v/>
      </c>
      <c r="I5" s="47"/>
      <c r="J5" s="14" t="s">
        <v>202</v>
      </c>
      <c r="K5" s="20" t="s">
        <v>18</v>
      </c>
      <c r="L5" s="16" t="s">
        <v>52</v>
      </c>
      <c r="M5" s="28"/>
      <c r="N5" s="19"/>
    </row>
    <row r="6" spans="2:17" s="12" customFormat="1" ht="12.75" customHeight="1">
      <c r="B6" s="17"/>
      <c r="C6" s="16" t="s">
        <v>240</v>
      </c>
      <c r="D6" s="46" t="s">
        <v>191</v>
      </c>
      <c r="E6" s="52" t="s">
        <v>255</v>
      </c>
      <c r="F6" s="13">
        <v>0.3888888888888889</v>
      </c>
      <c r="G6" s="16" t="str">
        <f>IF(E6&gt;0,IFERROR(INDEX(All_Mails!$B:$B,MATCH($E6,All_Mails!$D:$D,0)),"Not Found"),"n/a")</f>
        <v>Yes</v>
      </c>
      <c r="H6" s="14">
        <f>IFERROR(INDEX(All_Mails!$C:$C,MATCH($E6,All_Mails!$D:$D,0)),"")</f>
        <v>0.3888888888888889</v>
      </c>
      <c r="I6" s="47"/>
      <c r="J6" s="14" t="s">
        <v>257</v>
      </c>
      <c r="K6" s="20" t="s">
        <v>18</v>
      </c>
      <c r="L6" s="16" t="s">
        <v>611</v>
      </c>
      <c r="M6" s="28"/>
      <c r="N6" s="19" t="s">
        <v>809</v>
      </c>
      <c r="O6" s="12" t="s">
        <v>807</v>
      </c>
      <c r="P6" s="12" t="s">
        <v>808</v>
      </c>
      <c r="Q6" s="12" t="s">
        <v>811</v>
      </c>
    </row>
    <row r="7" spans="2:17" s="77" customFormat="1" ht="12.75" hidden="1" customHeight="1">
      <c r="B7" s="78"/>
      <c r="C7" s="79" t="s">
        <v>240</v>
      </c>
      <c r="D7" s="79" t="s">
        <v>251</v>
      </c>
      <c r="E7" s="80" t="s">
        <v>649</v>
      </c>
      <c r="F7" s="81">
        <v>0.42083333333333334</v>
      </c>
      <c r="G7" s="79" t="str">
        <f>IF(E7&gt;0,IFERROR(INDEX(All_Mails!$B:$B,MATCH($E7,All_Mails!$D:$D,0)),"Not Found"),"n/a")</f>
        <v>Not Found</v>
      </c>
      <c r="H7" s="82" t="str">
        <f>IFERROR(INDEX(All_Mails!$C:$C,MATCH($E7,All_Mails!$D:$D,0)),"")</f>
        <v/>
      </c>
      <c r="I7" s="83"/>
      <c r="J7" s="82" t="s">
        <v>258</v>
      </c>
      <c r="K7" s="84" t="s">
        <v>18</v>
      </c>
      <c r="L7" s="79" t="s">
        <v>611</v>
      </c>
      <c r="M7" s="87"/>
    </row>
    <row r="8" spans="2:17" s="77" customFormat="1" ht="12.75" hidden="1" customHeight="1">
      <c r="B8" s="78"/>
      <c r="C8" s="79" t="s">
        <v>240</v>
      </c>
      <c r="D8" s="79" t="s">
        <v>252</v>
      </c>
      <c r="E8" s="80" t="s">
        <v>650</v>
      </c>
      <c r="F8" s="81">
        <v>0.45277777777777778</v>
      </c>
      <c r="G8" s="79" t="str">
        <f>IF(E8&gt;0,IFERROR(INDEX(All_Mails!$B:$B,MATCH($E8,All_Mails!$D:$D,0)),"Not Found"),"n/a")</f>
        <v>Not Found</v>
      </c>
      <c r="H8" s="82" t="str">
        <f>IFERROR(INDEX(All_Mails!$C:$C,MATCH($E8,All_Mails!$D:$D,0)),"")</f>
        <v/>
      </c>
      <c r="I8" s="83"/>
      <c r="J8" s="82" t="s">
        <v>259</v>
      </c>
      <c r="K8" s="84" t="s">
        <v>18</v>
      </c>
      <c r="L8" s="79" t="s">
        <v>611</v>
      </c>
      <c r="M8" s="87"/>
      <c r="P8" s="77" t="s">
        <v>357</v>
      </c>
    </row>
    <row r="9" spans="2:17" s="77" customFormat="1" ht="12.75" hidden="1" customHeight="1">
      <c r="B9" s="78"/>
      <c r="C9" s="79" t="s">
        <v>240</v>
      </c>
      <c r="D9" s="80" t="s">
        <v>189</v>
      </c>
      <c r="E9" s="80" t="s">
        <v>189</v>
      </c>
      <c r="F9" s="81">
        <v>0.4375</v>
      </c>
      <c r="G9" s="79" t="str">
        <f>IF(E9&gt;0,IFERROR(INDEX(All_Mails!$B:$B,MATCH($E9,All_Mails!$D:$D,0)),"Not Found"),"n/a")</f>
        <v>Yes</v>
      </c>
      <c r="H9" s="82">
        <f>IFERROR(INDEX(All_Mails!$C:$C,MATCH($E9,All_Mails!$D:$D,0)),"")</f>
        <v>0.4381944444444445</v>
      </c>
      <c r="I9" s="83"/>
      <c r="J9" s="79" t="s">
        <v>21</v>
      </c>
      <c r="K9" s="84" t="s">
        <v>18</v>
      </c>
      <c r="L9" s="79"/>
      <c r="M9" s="87"/>
    </row>
    <row r="10" spans="2:17" s="12" customFormat="1" ht="12.75" customHeight="1">
      <c r="B10" s="17"/>
      <c r="C10" s="16" t="s">
        <v>240</v>
      </c>
      <c r="D10" s="51" t="s">
        <v>254</v>
      </c>
      <c r="E10" s="27" t="str">
        <f ca="1">"DWH_report || "&amp;TEXT(TODAY()-1,"yyyymmdd")</f>
        <v>DWH_report || 20250414</v>
      </c>
      <c r="F10" s="13">
        <v>0.35972222222222222</v>
      </c>
      <c r="G10" s="16" t="str">
        <f ca="1">IF(E10&gt;0,IFERROR(INDEX(All_Mails!$B:$B,MATCH($E10,All_Mails!$D:$D,0)),"Not Found"),"n/a")</f>
        <v>Yes</v>
      </c>
      <c r="H10" s="14">
        <f ca="1">IFERROR(INDEX(All_Mails!$C:$C,MATCH($E10,All_Mails!$D:$D,0)),"")</f>
        <v>0.35555555555555557</v>
      </c>
      <c r="I10" s="30"/>
      <c r="J10" s="11" t="s">
        <v>260</v>
      </c>
      <c r="K10" s="20" t="s">
        <v>18</v>
      </c>
      <c r="L10" s="16" t="s">
        <v>52</v>
      </c>
      <c r="M10" s="28"/>
      <c r="N10" s="19" t="s">
        <v>805</v>
      </c>
      <c r="O10" s="12" t="s">
        <v>806</v>
      </c>
      <c r="P10" s="12" t="s">
        <v>806</v>
      </c>
      <c r="Q10" s="12" t="s">
        <v>810</v>
      </c>
    </row>
    <row r="11" spans="2:17" s="12" customFormat="1" ht="12.75" customHeight="1">
      <c r="B11" s="17"/>
      <c r="C11" s="16"/>
      <c r="D11" s="51"/>
      <c r="E11" s="27" t="s">
        <v>812</v>
      </c>
      <c r="F11" s="13">
        <v>0.35972222222222222</v>
      </c>
      <c r="G11" s="16" t="str">
        <f>IF(E11&gt;0,IFERROR(INDEX(All_Mails!$B:$B,MATCH($E11,All_Mails!$D:$D,0)),"Not Found"),"n/a")</f>
        <v>Not Found</v>
      </c>
      <c r="H11" s="14" t="str">
        <f>IFERROR(INDEX(All_Mails!$C:$C,MATCH($E11,All_Mails!$D:$D,0)),"")</f>
        <v/>
      </c>
      <c r="I11" s="30"/>
      <c r="J11" s="11" t="s">
        <v>813</v>
      </c>
      <c r="K11" s="20" t="s">
        <v>18</v>
      </c>
      <c r="L11" s="16" t="s">
        <v>52</v>
      </c>
      <c r="M11" s="90" t="s">
        <v>835</v>
      </c>
      <c r="N11" s="19" t="s">
        <v>805</v>
      </c>
      <c r="O11" s="12" t="s">
        <v>806</v>
      </c>
      <c r="P11" s="12" t="s">
        <v>806</v>
      </c>
      <c r="Q11" s="12" t="s">
        <v>814</v>
      </c>
    </row>
    <row r="12" spans="2:17" s="12" customFormat="1" ht="12.75" customHeight="1">
      <c r="B12" s="17"/>
      <c r="C12" s="16" t="s">
        <v>240</v>
      </c>
      <c r="D12" s="51" t="s">
        <v>253</v>
      </c>
      <c r="E12" s="27" t="str">
        <f ca="1">"Banglalink_Gamize_Report || "&amp;TEXT(TODAY()-1,"mmm-yyyy")</f>
        <v>Banglalink_Gamize_Report || Apr-2025</v>
      </c>
      <c r="F12" s="13">
        <v>0.44305555555555554</v>
      </c>
      <c r="G12" s="16" t="str">
        <f ca="1">IF(E12&gt;0,IFERROR(INDEX(All_Mails!$B:$B,MATCH($E12,All_Mails!$D:$D,0)),"Not Found"),"n/a")</f>
        <v>Yes</v>
      </c>
      <c r="H12" s="14">
        <f ca="1">IFERROR(INDEX(All_Mails!$C:$C,MATCH($E12,All_Mails!$D:$D,0)),"")</f>
        <v>0.4604166666666667</v>
      </c>
      <c r="I12" s="30"/>
      <c r="J12" s="11" t="s">
        <v>815</v>
      </c>
      <c r="K12" s="20" t="s">
        <v>18</v>
      </c>
      <c r="L12" s="16" t="s">
        <v>611</v>
      </c>
      <c r="M12" s="28"/>
      <c r="N12" s="19"/>
    </row>
    <row r="13" spans="2:17" s="77" customFormat="1" ht="12.75" hidden="1" customHeight="1">
      <c r="B13" s="78"/>
      <c r="C13" s="79"/>
      <c r="D13" s="80"/>
      <c r="E13" s="80" t="s">
        <v>651</v>
      </c>
      <c r="F13" s="81">
        <v>0.44305555555555554</v>
      </c>
      <c r="G13" s="79" t="str">
        <f>IF(E13&gt;0,IFERROR(INDEX(All_Mails!$B:$B,MATCH($E13,All_Mails!$D:$D,0)),"Not Found"),"n/a")</f>
        <v>Not Found</v>
      </c>
      <c r="H13" s="82" t="str">
        <f>IFERROR(INDEX(All_Mails!$C:$C,MATCH($E13,All_Mails!$D:$D,0)),"")</f>
        <v/>
      </c>
      <c r="I13" s="83"/>
      <c r="J13" s="79"/>
      <c r="K13" s="84" t="s">
        <v>18</v>
      </c>
      <c r="L13" s="79" t="s">
        <v>611</v>
      </c>
      <c r="M13" s="87"/>
    </row>
    <row r="14" spans="2:17" s="77" customFormat="1" ht="12.75" hidden="1" customHeight="1">
      <c r="B14" s="78"/>
      <c r="C14" s="79"/>
      <c r="D14" s="80"/>
      <c r="E14" s="80" t="s">
        <v>652</v>
      </c>
      <c r="F14" s="81">
        <v>0.44305555555555554</v>
      </c>
      <c r="G14" s="79" t="str">
        <f>IF(E14&gt;0,IFERROR(INDEX(All_Mails!$B:$B,MATCH($E14,All_Mails!$D:$D,0)),"Not Found"),"n/a")</f>
        <v>Not Found</v>
      </c>
      <c r="H14" s="82" t="str">
        <f>IFERROR(INDEX(All_Mails!$C:$C,MATCH($E14,All_Mails!$D:$D,0)),"")</f>
        <v/>
      </c>
      <c r="I14" s="83"/>
      <c r="J14" s="79"/>
      <c r="K14" s="84" t="s">
        <v>18</v>
      </c>
      <c r="L14" s="79" t="s">
        <v>611</v>
      </c>
      <c r="M14" s="87"/>
    </row>
    <row r="15" spans="2:17" s="12" customFormat="1" ht="12.75" customHeight="1">
      <c r="B15" s="17"/>
      <c r="C15" s="16"/>
      <c r="D15" s="51"/>
      <c r="E15" s="27" t="str">
        <f ca="1">"LTFS_Gamize_Report || "&amp;TEXT(TODAY()-1,"mmm-yyyy")</f>
        <v>LTFS_Gamize_Report || Apr-2025</v>
      </c>
      <c r="F15" s="13">
        <v>0.44305555555555554</v>
      </c>
      <c r="G15" s="16" t="str">
        <f ca="1">IF(E15&gt;0,IFERROR(INDEX(All_Mails!$B:$B,MATCH($E15,All_Mails!$D:$D,0)),"Not Found"),"n/a")</f>
        <v>Yes</v>
      </c>
      <c r="H15" s="14">
        <f ca="1">IFERROR(INDEX(All_Mails!$C:$C,MATCH($E15,All_Mails!$D:$D,0)),"")</f>
        <v>0.4597222222222222</v>
      </c>
      <c r="I15" s="30"/>
      <c r="J15" s="11" t="s">
        <v>796</v>
      </c>
      <c r="K15" s="20" t="s">
        <v>18</v>
      </c>
      <c r="L15" s="16" t="s">
        <v>611</v>
      </c>
      <c r="M15" s="28"/>
      <c r="N15" s="19"/>
    </row>
    <row r="16" spans="2:17" s="12" customFormat="1" ht="12.75" customHeight="1">
      <c r="B16" s="17"/>
      <c r="C16" s="16" t="s">
        <v>240</v>
      </c>
      <c r="D16" s="52" t="s">
        <v>715</v>
      </c>
      <c r="E16" s="27" t="str">
        <f ca="1">"Startrek_Gamize_Report || "&amp;TEXT(TODAY()-1,"mmm-yyyy")</f>
        <v>Startrek_Gamize_Report || Apr-2025</v>
      </c>
      <c r="F16" s="13">
        <v>0.3888888888888889</v>
      </c>
      <c r="G16" s="16" t="str">
        <f ca="1">IF(E16&gt;0,IFERROR(INDEX(All_Mails!$B:$B,MATCH($E16,All_Mails!$D:$D,0)),"Not Found"),"n/a")</f>
        <v>Yes</v>
      </c>
      <c r="H16" s="14">
        <f ca="1">IFERROR(INDEX(All_Mails!$C:$C,MATCH($E16,All_Mails!$D:$D,0)),"")</f>
        <v>0.4465277777777778</v>
      </c>
      <c r="I16" s="30"/>
      <c r="J16" s="11" t="s">
        <v>797</v>
      </c>
      <c r="K16" s="20" t="s">
        <v>18</v>
      </c>
      <c r="L16" s="16" t="s">
        <v>611</v>
      </c>
      <c r="M16" s="28"/>
      <c r="N16" s="19"/>
    </row>
    <row r="17" spans="2:14" s="12" customFormat="1" ht="12.75" customHeight="1">
      <c r="B17" s="17"/>
      <c r="C17" s="16" t="s">
        <v>169</v>
      </c>
      <c r="D17" s="52" t="s">
        <v>256</v>
      </c>
      <c r="E17" s="27" t="str">
        <f ca="1">"Telcomcel_CA_Daily_Report || "&amp;TEXT(TODAY()-1,"mmm-yyyy")</f>
        <v>Telcomcel_CA_Daily_Report || Apr-2025</v>
      </c>
      <c r="F17" s="13">
        <v>0.44305555555555554</v>
      </c>
      <c r="G17" s="16" t="str">
        <f ca="1">IF(E17&gt;0,IFERROR(INDEX(All_Mails!$B:$B,MATCH($E17,All_Mails!$D:$D,0)),"Not Found"),"n/a")</f>
        <v>Yes</v>
      </c>
      <c r="H17" s="14">
        <f ca="1">IFERROR(INDEX(All_Mails!$C:$C,MATCH($E17,All_Mails!$D:$D,0)),"")</f>
        <v>0.47291666666666665</v>
      </c>
      <c r="I17" s="30"/>
      <c r="J17" s="11" t="s">
        <v>261</v>
      </c>
      <c r="K17" s="20" t="s">
        <v>18</v>
      </c>
      <c r="L17" s="16" t="s">
        <v>611</v>
      </c>
      <c r="M17" s="28"/>
      <c r="N17" s="19"/>
    </row>
    <row r="18" spans="2:14" s="77" customFormat="1" ht="12.75" hidden="1" customHeight="1">
      <c r="B18" s="78"/>
      <c r="C18" s="79" t="s">
        <v>279</v>
      </c>
      <c r="D18" s="80" t="s">
        <v>270</v>
      </c>
      <c r="E18" s="80" t="s">
        <v>654</v>
      </c>
      <c r="F18" s="81">
        <v>0.46249999999999997</v>
      </c>
      <c r="G18" s="79" t="str">
        <f>IF(E18&gt;0,IFERROR(INDEX(All_Mails!$B:$B,MATCH($E18,All_Mails!$D:$D,0)),"Not Found"),"n/a")</f>
        <v>Not Found</v>
      </c>
      <c r="H18" s="82" t="str">
        <f>IFERROR(INDEX(All_Mails!$C:$C,MATCH($E18,All_Mails!$D:$D,0)),"")</f>
        <v/>
      </c>
      <c r="I18" s="83"/>
      <c r="J18" s="79" t="s">
        <v>263</v>
      </c>
      <c r="K18" s="84" t="s">
        <v>18</v>
      </c>
      <c r="L18" s="79" t="s">
        <v>611</v>
      </c>
      <c r="M18" s="87"/>
    </row>
    <row r="19" spans="2:14" s="12" customFormat="1" ht="12.75" customHeight="1">
      <c r="B19" s="17"/>
      <c r="C19" s="16" t="s">
        <v>279</v>
      </c>
      <c r="D19" s="52" t="s">
        <v>272</v>
      </c>
      <c r="E19" s="27" t="str">
        <f ca="1">"UPAY_Challenges_Arena_Report || "&amp;TEXT(TODAY()-1,"mmm-yyyy")</f>
        <v>UPAY_Challenges_Arena_Report || Apr-2025</v>
      </c>
      <c r="F19" s="13">
        <v>0.44861111111111113</v>
      </c>
      <c r="G19" s="16" t="str">
        <f ca="1">IF(E19&gt;0,IFERROR(INDEX(All_Mails!$B:$B,MATCH($E19,All_Mails!$D:$D,0)),"Not Found"),"n/a")</f>
        <v>Not Found</v>
      </c>
      <c r="H19" s="14" t="str">
        <f ca="1">IFERROR(INDEX(All_Mails!$C:$C,MATCH($E19,All_Mails!$D:$D,0)),"")</f>
        <v/>
      </c>
      <c r="I19" s="30"/>
      <c r="J19" s="11" t="s">
        <v>262</v>
      </c>
      <c r="K19" s="20" t="s">
        <v>18</v>
      </c>
      <c r="L19" s="16" t="s">
        <v>611</v>
      </c>
      <c r="M19" s="28"/>
      <c r="N19" s="19"/>
    </row>
    <row r="20" spans="2:14" s="12" customFormat="1" ht="12.75" customHeight="1">
      <c r="B20" s="17"/>
      <c r="C20" s="16" t="s">
        <v>82</v>
      </c>
      <c r="D20" s="52" t="s">
        <v>273</v>
      </c>
      <c r="E20" s="27" t="str">
        <f ca="1">"ROBIBD_Challenge_Arena_Report || "&amp;TEXT(TODAY()-1,"mmm-yyyy")</f>
        <v>ROBIBD_Challenge_Arena_Report || Apr-2025</v>
      </c>
      <c r="F20" s="13">
        <v>0.4381944444444445</v>
      </c>
      <c r="G20" s="16" t="str">
        <f ca="1">IF(E20&gt;0,IFERROR(INDEX(All_Mails!$B:$B,MATCH($E20,All_Mails!$D:$D,0)),"Not Found"),"n/a")</f>
        <v>Yes</v>
      </c>
      <c r="H20" s="14">
        <f ca="1">IFERROR(INDEX(All_Mails!$C:$C,MATCH($E20,All_Mails!$D:$D,0)),"")</f>
        <v>0.43888888888888888</v>
      </c>
      <c r="I20" s="30"/>
      <c r="J20" s="11" t="s">
        <v>264</v>
      </c>
      <c r="K20" s="20" t="s">
        <v>18</v>
      </c>
      <c r="L20" s="16" t="s">
        <v>611</v>
      </c>
      <c r="M20" s="28"/>
      <c r="N20" s="19"/>
    </row>
    <row r="21" spans="2:14" s="12" customFormat="1" ht="12.75" customHeight="1">
      <c r="B21" s="17"/>
      <c r="C21" s="16" t="s">
        <v>82</v>
      </c>
      <c r="D21" s="52" t="s">
        <v>274</v>
      </c>
      <c r="E21" s="27" t="str">
        <f ca="1">"ROBIBD_Challenge_Arena_Internal_Report || "&amp;TEXT(TODAY()-1,"mmm-yyyy")</f>
        <v>ROBIBD_Challenge_Arena_Internal_Report || Apr-2025</v>
      </c>
      <c r="F21" s="13">
        <v>0.40347222222222223</v>
      </c>
      <c r="G21" s="16" t="str">
        <f ca="1">IF(E21&gt;0,IFERROR(INDEX(All_Mails!$B:$B,MATCH($E21,All_Mails!$D:$D,0)),"Not Found"),"n/a")</f>
        <v>Yes</v>
      </c>
      <c r="H21" s="14">
        <f ca="1">IFERROR(INDEX(All_Mails!$C:$C,MATCH($E21,All_Mails!$D:$D,0)),"")</f>
        <v>0.37986111111111115</v>
      </c>
      <c r="I21" s="30"/>
      <c r="J21" s="11" t="s">
        <v>265</v>
      </c>
      <c r="K21" s="20" t="s">
        <v>18</v>
      </c>
      <c r="L21" s="16" t="s">
        <v>611</v>
      </c>
      <c r="M21" s="28"/>
      <c r="N21" s="19"/>
    </row>
    <row r="22" spans="2:14" s="12" customFormat="1" ht="12.75" customHeight="1">
      <c r="B22" s="17"/>
      <c r="C22" s="16"/>
      <c r="D22" s="52" t="s">
        <v>754</v>
      </c>
      <c r="E22" s="27" t="str">
        <f ca="1">"ROBIBD_ONMO_Report || "&amp;TEXT(TODAY()-1,"mmm-yyyy")</f>
        <v>ROBIBD_ONMO_Report || Apr-2025</v>
      </c>
      <c r="F22" s="13">
        <v>0.40347222222222223</v>
      </c>
      <c r="G22" s="16" t="str">
        <f ca="1">IF(E22&gt;0,IFERROR(INDEX(All_Mails!$B:$B,MATCH($E22,All_Mails!$D:$D,0)),"Not Found"),"n/a")</f>
        <v>Yes</v>
      </c>
      <c r="H22" s="14">
        <f ca="1">IFERROR(INDEX(All_Mails!$C:$C,MATCH($E22,All_Mails!$D:$D,0)),"")</f>
        <v>0.45902777777777781</v>
      </c>
      <c r="I22" s="30"/>
      <c r="J22" s="11" t="s">
        <v>798</v>
      </c>
      <c r="K22" s="20"/>
      <c r="L22" s="16" t="s">
        <v>611</v>
      </c>
      <c r="M22" s="28"/>
      <c r="N22" s="19"/>
    </row>
    <row r="23" spans="2:14" s="77" customFormat="1" ht="12.75" hidden="1" customHeight="1">
      <c r="B23" s="78"/>
      <c r="C23" s="79" t="s">
        <v>280</v>
      </c>
      <c r="D23" s="80" t="s">
        <v>271</v>
      </c>
      <c r="E23" s="80" t="s">
        <v>656</v>
      </c>
      <c r="F23" s="81">
        <v>0.4694444444444445</v>
      </c>
      <c r="G23" s="79" t="str">
        <f>IF(E23&gt;0,IFERROR(INDEX(All_Mails!$B:$B,MATCH($E23,All_Mails!$D:$D,0)),"Not Found"),"n/a")</f>
        <v>Not Found</v>
      </c>
      <c r="H23" s="82" t="str">
        <f>IFERROR(INDEX(All_Mails!$C:$C,MATCH($E23,All_Mails!$D:$D,0)),"")</f>
        <v/>
      </c>
      <c r="I23" s="83"/>
      <c r="J23" s="79" t="s">
        <v>266</v>
      </c>
      <c r="K23" s="84" t="s">
        <v>18</v>
      </c>
      <c r="L23" s="16" t="s">
        <v>611</v>
      </c>
      <c r="M23" s="28"/>
    </row>
    <row r="24" spans="2:14" s="12" customFormat="1" ht="12.75" hidden="1" customHeight="1">
      <c r="B24" s="17"/>
      <c r="C24" s="16" t="s">
        <v>281</v>
      </c>
      <c r="D24" s="52" t="s">
        <v>278</v>
      </c>
      <c r="E24" s="27" t="s">
        <v>657</v>
      </c>
      <c r="F24" s="13">
        <v>0.41041666666666665</v>
      </c>
      <c r="G24" s="16" t="str">
        <f>IF(E24&gt;0,IFERROR(INDEX(All_Mails!$B:$B,MATCH($E24,All_Mails!$D:$D,0)),"Not Found"),"n/a")</f>
        <v>Not Found</v>
      </c>
      <c r="H24" s="14" t="str">
        <f>IFERROR(INDEX(All_Mails!$C:$C,MATCH($E24,All_Mails!$D:$D,0)),"")</f>
        <v/>
      </c>
      <c r="I24" s="30"/>
      <c r="J24" s="11" t="s">
        <v>268</v>
      </c>
      <c r="K24" s="20" t="s">
        <v>18</v>
      </c>
      <c r="L24" s="16" t="s">
        <v>611</v>
      </c>
      <c r="M24" s="28"/>
      <c r="N24" s="19"/>
    </row>
    <row r="25" spans="2:14" s="12" customFormat="1" ht="12.75" customHeight="1">
      <c r="B25" s="17"/>
      <c r="C25" s="16" t="s">
        <v>281</v>
      </c>
      <c r="D25" s="52" t="s">
        <v>278</v>
      </c>
      <c r="E25" s="27" t="str">
        <f ca="1">"Ocade_Challenge_Arena_Report || "&amp;TEXT(TODAY()-1,"mmm-yyyy")</f>
        <v>Ocade_Challenge_Arena_Report || Apr-2025</v>
      </c>
      <c r="F25" s="13">
        <v>0.3923611111111111</v>
      </c>
      <c r="G25" s="16" t="str">
        <f ca="1">IF(E25&gt;0,IFERROR(INDEX(All_Mails!$B:$B,MATCH($E25,All_Mails!$D:$D,0)),"Not Found"),"n/a")</f>
        <v>Yes</v>
      </c>
      <c r="H25" s="14">
        <f ca="1">IFERROR(INDEX(All_Mails!$C:$C,MATCH($E25,All_Mails!$D:$D,0)),"")</f>
        <v>0.39374999999999999</v>
      </c>
      <c r="I25" s="30"/>
      <c r="J25" s="11" t="s">
        <v>799</v>
      </c>
      <c r="K25" s="20"/>
      <c r="L25" s="16" t="s">
        <v>611</v>
      </c>
      <c r="M25" s="28"/>
      <c r="N25" s="19"/>
    </row>
    <row r="26" spans="2:14" s="12" customFormat="1" ht="12.75" customHeight="1">
      <c r="B26" s="17"/>
      <c r="C26" s="16" t="s">
        <v>281</v>
      </c>
      <c r="D26" s="52" t="s">
        <v>277</v>
      </c>
      <c r="E26" s="27" t="str">
        <f ca="1">"Ocade_CA_Report || "&amp;TEXT(TODAY()-1,"mmm-yyyy")</f>
        <v>Ocade_CA_Report || Apr-2025</v>
      </c>
      <c r="F26" s="13">
        <v>0.41875000000000001</v>
      </c>
      <c r="G26" s="16" t="str">
        <f ca="1">IF(E26&gt;0,IFERROR(INDEX(All_Mails!$B:$B,MATCH($E26,All_Mails!$D:$D,0)),"Not Found"),"n/a")</f>
        <v>Yes</v>
      </c>
      <c r="H26" s="14">
        <f ca="1">IFERROR(INDEX(All_Mails!$C:$C,MATCH($E26,All_Mails!$D:$D,0)),"")</f>
        <v>0.41944444444444445</v>
      </c>
      <c r="I26" s="30"/>
      <c r="J26" s="11" t="s">
        <v>267</v>
      </c>
      <c r="K26" s="20" t="s">
        <v>18</v>
      </c>
      <c r="L26" s="16" t="s">
        <v>611</v>
      </c>
      <c r="M26" s="28"/>
      <c r="N26" s="19"/>
    </row>
    <row r="27" spans="2:14" s="12" customFormat="1" ht="12.75" customHeight="1">
      <c r="B27" s="17"/>
      <c r="C27" s="16" t="s">
        <v>281</v>
      </c>
      <c r="D27" s="27" t="s">
        <v>665</v>
      </c>
      <c r="E27" s="27" t="str">
        <f ca="1">"OML_GameCity_ONMO_Internal_Report || "&amp;TEXT(TODAY()-1,"mmm-yyyy")</f>
        <v>OML_GameCity_ONMO_Internal_Report || Apr-2025</v>
      </c>
      <c r="F27" s="13">
        <v>0.41875000000000001</v>
      </c>
      <c r="G27" s="16" t="str">
        <f ca="1">IF(E27&gt;0,IFERROR(INDEX(All_Mails!$B:$B,MATCH($E27,All_Mails!$D:$D,0)),"Not Found"),"n/a")</f>
        <v>Yes</v>
      </c>
      <c r="H27" s="14">
        <f ca="1">IFERROR(INDEX(All_Mails!$C:$C,MATCH($E27,All_Mails!$D:$D,0)),"")</f>
        <v>0.45069444444444445</v>
      </c>
      <c r="I27" s="30"/>
      <c r="J27" s="11" t="s">
        <v>800</v>
      </c>
      <c r="K27" s="20"/>
      <c r="L27" s="16" t="s">
        <v>611</v>
      </c>
      <c r="M27" s="28"/>
      <c r="N27" s="19"/>
    </row>
    <row r="28" spans="2:14" s="12" customFormat="1" ht="12.75" customHeight="1">
      <c r="B28" s="17"/>
      <c r="C28" s="16" t="s">
        <v>281</v>
      </c>
      <c r="D28" s="27" t="s">
        <v>712</v>
      </c>
      <c r="E28" s="27" t="str">
        <f ca="1">"OML_GameCity_ONMO_Report || "&amp;TEXT(TODAY()-1,"mmm-yyyy")</f>
        <v>OML_GameCity_ONMO_Report || Apr-2025</v>
      </c>
      <c r="F28" s="13">
        <v>0.41875000000000001</v>
      </c>
      <c r="G28" s="16" t="str">
        <f ca="1">IF(E28&gt;0,IFERROR(INDEX(All_Mails!$B:$B,MATCH($E28,All_Mails!$D:$D,0)),"Not Found"),"n/a")</f>
        <v>Yes</v>
      </c>
      <c r="H28" s="14">
        <f ca="1">IFERROR(INDEX(All_Mails!$C:$C,MATCH($E28,All_Mails!$D:$D,0)),"")</f>
        <v>0.4513888888888889</v>
      </c>
      <c r="I28" s="30"/>
      <c r="J28" s="11" t="s">
        <v>800</v>
      </c>
      <c r="K28" s="20"/>
      <c r="L28" s="16" t="s">
        <v>611</v>
      </c>
      <c r="M28" s="28"/>
      <c r="N28" s="19"/>
    </row>
    <row r="29" spans="2:14" s="12" customFormat="1" ht="12.75" customHeight="1">
      <c r="B29" s="17"/>
      <c r="C29" s="16" t="s">
        <v>282</v>
      </c>
      <c r="D29" s="52" t="s">
        <v>275</v>
      </c>
      <c r="E29" s="27" t="str">
        <f ca="1">"DHIRAAGU_Challenges_Arena_Report || "&amp;TEXT(TODAY()-1,"mmm-yyyy")</f>
        <v>DHIRAAGU_Challenges_Arena_Report || Apr-2025</v>
      </c>
      <c r="F29" s="13">
        <v>0.43472222222222223</v>
      </c>
      <c r="G29" s="16" t="str">
        <f ca="1">IF(E29&gt;0,IFERROR(INDEX(All_Mails!$B:$B,MATCH($E29,All_Mails!$D:$D,0)),"Not Found"),"n/a")</f>
        <v>Yes</v>
      </c>
      <c r="H29" s="14">
        <f ca="1">IFERROR(INDEX(All_Mails!$C:$C,MATCH($E29,All_Mails!$D:$D,0)),"")</f>
        <v>0.43541666666666662</v>
      </c>
      <c r="I29" s="30"/>
      <c r="J29" s="11" t="s">
        <v>269</v>
      </c>
      <c r="K29" s="20" t="s">
        <v>18</v>
      </c>
      <c r="L29" s="16" t="s">
        <v>611</v>
      </c>
      <c r="M29" s="28"/>
      <c r="N29" s="19"/>
    </row>
    <row r="30" spans="2:14" s="77" customFormat="1" ht="12.75" hidden="1" customHeight="1">
      <c r="B30" s="78"/>
      <c r="C30" s="79" t="s">
        <v>82</v>
      </c>
      <c r="D30" s="80" t="s">
        <v>276</v>
      </c>
      <c r="E30" s="80" t="s">
        <v>659</v>
      </c>
      <c r="F30" s="81">
        <v>0.46597222222222223</v>
      </c>
      <c r="G30" s="79" t="str">
        <f>IF(E30&gt;0,IFERROR(INDEX(All_Mails!$B:$B,MATCH($E30,All_Mails!$D:$D,0)),"Not Found"),"n/a")</f>
        <v>Not Found</v>
      </c>
      <c r="H30" s="82" t="str">
        <f>IFERROR(INDEX(All_Mails!$C:$C,MATCH($E30,All_Mails!$D:$D,0)),"")</f>
        <v/>
      </c>
      <c r="I30" s="83"/>
      <c r="J30" s="79" t="s">
        <v>266</v>
      </c>
      <c r="K30" s="84" t="s">
        <v>18</v>
      </c>
      <c r="L30" s="79" t="s">
        <v>611</v>
      </c>
      <c r="M30" s="87"/>
    </row>
    <row r="31" spans="2:14" s="12" customFormat="1" ht="12.75" customHeight="1">
      <c r="B31" s="17"/>
      <c r="C31" s="11" t="s">
        <v>231</v>
      </c>
      <c r="D31" s="16" t="s">
        <v>203</v>
      </c>
      <c r="E31" s="27" t="str">
        <f ca="1">"Atom_Challenge_Arena_Report || "&amp;TEXT(TODAY()-1,"mmm-yyyy")</f>
        <v>Atom_Challenge_Arena_Report || Apr-2025</v>
      </c>
      <c r="F31" s="13">
        <v>0.37222222222222223</v>
      </c>
      <c r="G31" s="16" t="str">
        <f ca="1">IF(E31&gt;0,IFERROR(INDEX(All_Mails!$B:$B,MATCH($E31,All_Mails!$D:$D,0)),"Not Found"),"n/a")</f>
        <v>Yes</v>
      </c>
      <c r="H31" s="14">
        <f ca="1">IFERROR(INDEX(All_Mails!$C:$C,MATCH($E31,All_Mails!$D:$D,0)),"")</f>
        <v>0.37222222222222223</v>
      </c>
      <c r="I31" s="47"/>
      <c r="J31" s="14" t="s">
        <v>204</v>
      </c>
      <c r="K31" s="20" t="s">
        <v>18</v>
      </c>
      <c r="L31" s="16" t="s">
        <v>611</v>
      </c>
      <c r="M31" s="28"/>
      <c r="N31" s="19"/>
    </row>
    <row r="32" spans="2:14" s="12" customFormat="1" ht="12.75" customHeight="1">
      <c r="B32" s="17"/>
      <c r="C32" s="11"/>
      <c r="D32" s="16"/>
      <c r="E32" s="27" t="str">
        <f ca="1">"Atom_Onmo_Report || "&amp;TEXT(TODAY()-1,"mmm-yyyy")</f>
        <v>Atom_Onmo_Report || Apr-2025</v>
      </c>
      <c r="F32" s="13">
        <v>0.37222222222222223</v>
      </c>
      <c r="G32" s="16" t="str">
        <f ca="1">IF(E32&gt;0,IFERROR(INDEX(All_Mails!$B:$B,MATCH($E32,All_Mails!$D:$D,0)),"Not Found"),"n/a")</f>
        <v>Yes</v>
      </c>
      <c r="H32" s="14">
        <f ca="1">IFERROR(INDEX(All_Mails!$C:$C,MATCH($E32,All_Mails!$D:$D,0)),"")</f>
        <v>0.43194444444444446</v>
      </c>
      <c r="I32" s="47"/>
      <c r="J32" s="14" t="s">
        <v>801</v>
      </c>
      <c r="K32" s="20"/>
      <c r="L32" s="16" t="s">
        <v>611</v>
      </c>
      <c r="M32" s="28"/>
      <c r="N32" s="19"/>
    </row>
    <row r="33" spans="2:16" s="12" customFormat="1" ht="12.75" customHeight="1">
      <c r="B33" s="17"/>
      <c r="C33" s="11" t="s">
        <v>161</v>
      </c>
      <c r="D33" s="16" t="s">
        <v>205</v>
      </c>
      <c r="E33" s="27" t="str">
        <f ca="1">"AIS CA Report || "&amp;TEXT(TODAY()-1,"mmm-yyyy")</f>
        <v>AIS CA Report || Apr-2025</v>
      </c>
      <c r="F33" s="13">
        <v>0.33055555555555555</v>
      </c>
      <c r="G33" s="16" t="str">
        <f ca="1">IF(E33&gt;0,IFERROR(INDEX(All_Mails!$B:$B,MATCH($E33,All_Mails!$D:$D,0)),"Not Found"),"n/a")</f>
        <v>Yes</v>
      </c>
      <c r="H33" s="14">
        <f ca="1">IFERROR(INDEX(All_Mails!$C:$C,MATCH($E33,All_Mails!$D:$D,0)),"")</f>
        <v>0.3444444444444445</v>
      </c>
      <c r="I33" s="47"/>
      <c r="J33" s="14" t="s">
        <v>206</v>
      </c>
      <c r="K33" s="20" t="s">
        <v>18</v>
      </c>
      <c r="L33" s="16" t="s">
        <v>611</v>
      </c>
      <c r="M33" s="28"/>
      <c r="N33" s="19"/>
    </row>
    <row r="34" spans="2:16" s="53" customFormat="1" ht="12.75" hidden="1" customHeight="1">
      <c r="B34" s="54"/>
      <c r="C34" s="40" t="s">
        <v>161</v>
      </c>
      <c r="D34" s="41" t="s">
        <v>207</v>
      </c>
      <c r="E34" s="55" t="s">
        <v>661</v>
      </c>
      <c r="F34" s="42" t="s">
        <v>288</v>
      </c>
      <c r="G34" s="41" t="str">
        <f>IF(E34&gt;0,IFERROR(INDEX(All_Mails!$B:$B,MATCH($E34,All_Mails!$D:$D,0)),"Not Found"),"n/a")</f>
        <v>Not Found</v>
      </c>
      <c r="H34" s="43" t="str">
        <f>IFERROR(INDEX(All_Mails!$C:$C,MATCH($E34,All_Mails!$D:$D,0)),"")</f>
        <v/>
      </c>
      <c r="I34" s="48"/>
      <c r="J34" s="43" t="s">
        <v>208</v>
      </c>
      <c r="K34" s="45" t="s">
        <v>18</v>
      </c>
      <c r="L34" s="41" t="s">
        <v>611</v>
      </c>
      <c r="M34" s="86"/>
      <c r="N34" s="25"/>
    </row>
    <row r="35" spans="2:16" s="12" customFormat="1" ht="12.75" hidden="1" customHeight="1">
      <c r="B35" s="17"/>
      <c r="C35" s="11" t="s">
        <v>232</v>
      </c>
      <c r="D35" s="16" t="s">
        <v>209</v>
      </c>
      <c r="E35" s="27" t="s">
        <v>662</v>
      </c>
      <c r="F35" s="13">
        <v>0.33402777777777781</v>
      </c>
      <c r="G35" s="16" t="str">
        <f>IF(E35&gt;0,IFERROR(INDEX(All_Mails!$B:$B,MATCH($E35,All_Mails!$D:$D,0)),"Not Found"),"n/a")</f>
        <v>Not Found</v>
      </c>
      <c r="H35" s="14" t="str">
        <f>IFERROR(INDEX(All_Mails!$C:$C,MATCH($E35,All_Mails!$D:$D,0)),"")</f>
        <v/>
      </c>
      <c r="I35" s="47"/>
      <c r="J35" s="14" t="s">
        <v>210</v>
      </c>
      <c r="K35" s="20" t="s">
        <v>18</v>
      </c>
      <c r="L35" s="16" t="s">
        <v>611</v>
      </c>
      <c r="M35" s="28"/>
      <c r="N35" s="19"/>
    </row>
    <row r="36" spans="2:16" s="12" customFormat="1" ht="12.75" customHeight="1">
      <c r="B36" s="17"/>
      <c r="C36" s="11" t="s">
        <v>233</v>
      </c>
      <c r="D36" s="16" t="s">
        <v>211</v>
      </c>
      <c r="E36" s="27" t="str">
        <f ca="1">"TrueMove-DTAC_Challenge_Arena_Report || "&amp;TEXT(TODAY()-1,"mmm-yyyy")</f>
        <v>TrueMove-DTAC_Challenge_Arena_Report || Apr-2025</v>
      </c>
      <c r="F36" s="13">
        <v>0.42430555555555555</v>
      </c>
      <c r="G36" s="16" t="str">
        <f ca="1">IF(E36&gt;0,IFERROR(INDEX(All_Mails!$B:$B,MATCH($E36,All_Mails!$D:$D,0)),"Not Found"),"n/a")</f>
        <v>Yes</v>
      </c>
      <c r="H36" s="14">
        <f ca="1">IFERROR(INDEX(All_Mails!$C:$C,MATCH($E36,All_Mails!$D:$D,0)),"")</f>
        <v>0.42499999999999999</v>
      </c>
      <c r="I36" s="47"/>
      <c r="J36" s="14" t="s">
        <v>212</v>
      </c>
      <c r="K36" s="20" t="s">
        <v>18</v>
      </c>
      <c r="L36" s="16" t="s">
        <v>611</v>
      </c>
      <c r="M36" s="28"/>
      <c r="N36" s="19"/>
      <c r="P36" s="50"/>
    </row>
    <row r="37" spans="2:16" s="12" customFormat="1" ht="12.75" customHeight="1">
      <c r="B37" s="17"/>
      <c r="C37" s="11" t="s">
        <v>233</v>
      </c>
      <c r="D37" s="16" t="s">
        <v>213</v>
      </c>
      <c r="E37" s="27" t="str">
        <f ca="1">"TRUEMOVE-DTAC Games Report  || "&amp;TEXT(TODAY()-1,"mmm-yyyy")</f>
        <v>TRUEMOVE-DTAC Games Report  || Apr-2025</v>
      </c>
      <c r="F37" s="13">
        <v>0.41736111111111113</v>
      </c>
      <c r="G37" s="16" t="str">
        <f ca="1">IF(E37&gt;0,IFERROR(INDEX(All_Mails!$B:$B,MATCH($E37,All_Mails!$D:$D,0)),"Not Found"),"n/a")</f>
        <v>Yes</v>
      </c>
      <c r="H37" s="14">
        <f ca="1">IFERROR(INDEX(All_Mails!$C:$C,MATCH($E37,All_Mails!$D:$D,0)),"")</f>
        <v>0.41805555555555557</v>
      </c>
      <c r="I37" s="47"/>
      <c r="J37" s="14" t="s">
        <v>214</v>
      </c>
      <c r="K37" s="20" t="s">
        <v>18</v>
      </c>
      <c r="L37" s="16" t="s">
        <v>611</v>
      </c>
      <c r="M37" s="28"/>
      <c r="N37" s="19"/>
    </row>
    <row r="38" spans="2:16" s="12" customFormat="1" ht="12.75" customHeight="1">
      <c r="B38" s="17"/>
      <c r="C38" s="11" t="s">
        <v>233</v>
      </c>
      <c r="D38" s="16" t="s">
        <v>287</v>
      </c>
      <c r="E38" s="27" t="str">
        <f ca="1">"TrueMove-DTAC_ONMO_Report || "&amp;TEXT(TODAY()-1,"mmm-yyyy")</f>
        <v>TrueMove-DTAC_ONMO_Report || Apr-2025</v>
      </c>
      <c r="F38" s="13">
        <v>0.42569444444444443</v>
      </c>
      <c r="G38" s="16" t="str">
        <f ca="1">IF(E38&gt;0,IFERROR(INDEX(All_Mails!$B:$B,MATCH($E38,All_Mails!$D:$D,0)),"Not Found"),"n/a")</f>
        <v>Yes</v>
      </c>
      <c r="H38" s="14">
        <f ca="1">IFERROR(INDEX(All_Mails!$C:$C,MATCH($E38,All_Mails!$D:$D,0)),"")</f>
        <v>0.42708333333333331</v>
      </c>
      <c r="I38" s="47"/>
      <c r="J38" s="14" t="s">
        <v>214</v>
      </c>
      <c r="K38" s="20" t="s">
        <v>18</v>
      </c>
      <c r="L38" s="16" t="s">
        <v>611</v>
      </c>
      <c r="M38" s="28"/>
      <c r="N38" s="19"/>
    </row>
    <row r="39" spans="2:16" s="12" customFormat="1" ht="12.75" customHeight="1">
      <c r="B39" s="17"/>
      <c r="C39" s="11"/>
      <c r="D39" s="16" t="s">
        <v>369</v>
      </c>
      <c r="E39" s="27" t="str">
        <f ca="1">"ZONG_Challenge_Arena_Internal_Report || "&amp;TEXT(TODAY()-1,"mmm-yyyy")</f>
        <v>ZONG_Challenge_Arena_Internal_Report || Apr-2025</v>
      </c>
      <c r="F39" s="13">
        <v>0.42569444444444443</v>
      </c>
      <c r="G39" s="16" t="str">
        <f ca="1">IF(E39&gt;0,IFERROR(INDEX(All_Mails!$B:$B,MATCH($E39,All_Mails!$D:$D,0)),"Not Found"),"n/a")</f>
        <v>Yes</v>
      </c>
      <c r="H39" s="14">
        <f ca="1">IFERROR(INDEX(All_Mails!$C:$C,MATCH($E39,All_Mails!$D:$D,0)),"")</f>
        <v>0.45555555555555555</v>
      </c>
      <c r="I39" s="47"/>
      <c r="J39" s="14" t="s">
        <v>802</v>
      </c>
      <c r="K39" s="20"/>
      <c r="L39" s="16" t="s">
        <v>611</v>
      </c>
      <c r="M39" s="28"/>
      <c r="N39" s="19"/>
    </row>
    <row r="40" spans="2:16" s="12" customFormat="1" ht="12.75" customHeight="1">
      <c r="B40" s="17"/>
      <c r="C40" s="11"/>
      <c r="D40" s="16" t="s">
        <v>370</v>
      </c>
      <c r="E40" s="27" t="str">
        <f ca="1">"ZONG_Challenge_Arena_Report || "&amp;TEXT(TODAY()-1,"mmm-yyyy")</f>
        <v>ZONG_Challenge_Arena_Report || Apr-2025</v>
      </c>
      <c r="F40" s="13">
        <v>0.42569444444444443</v>
      </c>
      <c r="G40" s="16" t="str">
        <f ca="1">IF(E40&gt;0,IFERROR(INDEX(All_Mails!$B:$B,MATCH($E40,All_Mails!$D:$D,0)),"Not Found"),"n/a")</f>
        <v>Yes</v>
      </c>
      <c r="H40" s="14">
        <f ca="1">IFERROR(INDEX(All_Mails!$C:$C,MATCH($E40,All_Mails!$D:$D,0)),"")</f>
        <v>0.45624999999999999</v>
      </c>
      <c r="I40" s="47"/>
      <c r="J40" s="14" t="s">
        <v>802</v>
      </c>
      <c r="K40" s="20"/>
      <c r="L40" s="16" t="s">
        <v>611</v>
      </c>
      <c r="M40" s="28"/>
      <c r="N40" s="19"/>
    </row>
    <row r="41" spans="2:16" s="12" customFormat="1" ht="12.75" customHeight="1">
      <c r="B41" s="17"/>
      <c r="C41" s="11"/>
      <c r="D41" s="16"/>
      <c r="E41" s="27" t="str">
        <f ca="1">"VNPT_ONMO_Subscription_Report || "&amp;TEXT(TODAY()-1,"mmm-yyyy")</f>
        <v>VNPT_ONMO_Subscription_Report || Apr-2025</v>
      </c>
      <c r="F41" s="13">
        <v>0.46180555555555558</v>
      </c>
      <c r="G41" s="16" t="str">
        <f ca="1">IF(E41&gt;0,IFERROR(INDEX(All_Mails!$B:$B,MATCH($E41,All_Mails!$D:$D,0)),"Not Found"),"n/a")</f>
        <v>Yes</v>
      </c>
      <c r="H41" s="14">
        <f ca="1">IFERROR(INDEX(All_Mails!$C:$C,MATCH($E41,All_Mails!$D:$D,0)),"")</f>
        <v>0.46249999999999997</v>
      </c>
      <c r="I41" s="47"/>
      <c r="J41" s="14" t="s">
        <v>803</v>
      </c>
      <c r="K41" s="20"/>
      <c r="L41" s="16" t="s">
        <v>611</v>
      </c>
      <c r="M41" s="28"/>
      <c r="N41" s="19"/>
    </row>
    <row r="42" spans="2:16" s="12" customFormat="1" ht="12.75" customHeight="1">
      <c r="B42" s="17"/>
      <c r="C42" s="11" t="s">
        <v>234</v>
      </c>
      <c r="D42" s="16" t="s">
        <v>215</v>
      </c>
      <c r="E42" s="27" t="str">
        <f ca="1">"Dialog_Challenge_Arena_Report || "&amp;TEXT(TODAY()-1,"mmm-yyyy")</f>
        <v>Dialog_Challenge_Arena_Report || Apr-2025</v>
      </c>
      <c r="F42" s="13">
        <v>0.41388888888888892</v>
      </c>
      <c r="G42" s="16" t="str">
        <f ca="1">IF(E42&gt;0,IFERROR(INDEX(All_Mails!$B:$B,MATCH($E42,All_Mails!$D:$D,0)),"Not Found"),"n/a")</f>
        <v>Yes</v>
      </c>
      <c r="H42" s="14">
        <f ca="1">IFERROR(INDEX(All_Mails!$C:$C,MATCH($E42,All_Mails!$D:$D,0)),"")</f>
        <v>0.41388888888888892</v>
      </c>
      <c r="I42" s="47"/>
      <c r="J42" s="14" t="s">
        <v>216</v>
      </c>
      <c r="K42" s="20" t="s">
        <v>18</v>
      </c>
      <c r="L42" s="16" t="s">
        <v>611</v>
      </c>
      <c r="M42" s="28"/>
      <c r="N42" s="19"/>
    </row>
    <row r="43" spans="2:16" s="12" customFormat="1" ht="12.75" customHeight="1">
      <c r="B43" s="17"/>
      <c r="C43" s="11" t="s">
        <v>234</v>
      </c>
      <c r="D43" s="16" t="s">
        <v>217</v>
      </c>
      <c r="E43" s="27" t="str">
        <f ca="1">"Dialog_Onmo_Report || "&amp;TEXT(TODAY()-1,"mmm-yyyy")</f>
        <v>Dialog_Onmo_Report || Apr-2025</v>
      </c>
      <c r="F43" s="13">
        <v>0.42777777777777781</v>
      </c>
      <c r="G43" s="16" t="str">
        <f ca="1">IF(E43&gt;0,IFERROR(INDEX(All_Mails!$B:$B,MATCH($E43,All_Mails!$D:$D,0)),"Not Found"),"n/a")</f>
        <v>Yes</v>
      </c>
      <c r="H43" s="14">
        <f ca="1">IFERROR(INDEX(All_Mails!$C:$C,MATCH($E43,All_Mails!$D:$D,0)),"")</f>
        <v>0.42777777777777781</v>
      </c>
      <c r="I43" s="47"/>
      <c r="J43" s="14" t="s">
        <v>218</v>
      </c>
      <c r="K43" s="20" t="s">
        <v>18</v>
      </c>
      <c r="L43" s="16" t="s">
        <v>611</v>
      </c>
      <c r="M43" s="28"/>
      <c r="N43" s="19"/>
    </row>
    <row r="44" spans="2:16" s="53" customFormat="1" ht="12.75" hidden="1" customHeight="1">
      <c r="B44" s="54"/>
      <c r="C44" s="41" t="s">
        <v>219</v>
      </c>
      <c r="D44" s="41" t="s">
        <v>219</v>
      </c>
      <c r="E44" s="55" t="s">
        <v>670</v>
      </c>
      <c r="F44" s="42" t="s">
        <v>288</v>
      </c>
      <c r="G44" s="41" t="str">
        <f>IF(E44&gt;0,IFERROR(INDEX(All_Mails!$B:$B,MATCH($E44,All_Mails!$D:$D,0)),"Not Found"),"n/a")</f>
        <v>Not Found</v>
      </c>
      <c r="H44" s="43" t="str">
        <f>IFERROR(INDEX(All_Mails!$C:$C,MATCH($E44,All_Mails!$D:$D,0)),"")</f>
        <v/>
      </c>
      <c r="I44" s="48" t="s">
        <v>220</v>
      </c>
      <c r="J44" s="43" t="s">
        <v>221</v>
      </c>
      <c r="K44" s="45" t="s">
        <v>18</v>
      </c>
      <c r="L44" s="41" t="s">
        <v>611</v>
      </c>
      <c r="M44" s="86"/>
      <c r="N44" s="25"/>
    </row>
    <row r="45" spans="2:16" s="12" customFormat="1" ht="12.75" customHeight="1">
      <c r="B45" s="17"/>
      <c r="C45" s="11" t="s">
        <v>235</v>
      </c>
      <c r="D45" s="16" t="s">
        <v>222</v>
      </c>
      <c r="E45" s="27" t="str">
        <f ca="1">"KHALTI_CA_Report || "&amp;TEXT(TODAY()-1,"mmm-yyyy")</f>
        <v>KHALTI_CA_Report || Apr-2025</v>
      </c>
      <c r="F45" s="13">
        <v>0.4069444444444445</v>
      </c>
      <c r="G45" s="16" t="str">
        <f ca="1">IF(E45&gt;0,IFERROR(INDEX(All_Mails!$B:$B,MATCH($E45,All_Mails!$D:$D,0)),"Not Found"),"n/a")</f>
        <v>Yes</v>
      </c>
      <c r="H45" s="14">
        <f ca="1">IFERROR(INDEX(All_Mails!$C:$C,MATCH($E45,All_Mails!$D:$D,0)),"")</f>
        <v>0.38263888888888892</v>
      </c>
      <c r="I45" s="47"/>
      <c r="J45" s="14" t="s">
        <v>223</v>
      </c>
      <c r="K45" s="20" t="s">
        <v>18</v>
      </c>
      <c r="L45" s="16" t="s">
        <v>611</v>
      </c>
      <c r="M45" s="28"/>
      <c r="N45" s="19"/>
    </row>
    <row r="46" spans="2:16" s="53" customFormat="1" ht="12.75" hidden="1" customHeight="1">
      <c r="B46" s="54"/>
      <c r="C46" s="40" t="s">
        <v>236</v>
      </c>
      <c r="D46" s="41" t="s">
        <v>224</v>
      </c>
      <c r="E46" s="55" t="s">
        <v>671</v>
      </c>
      <c r="F46" s="42">
        <v>0.35138888888888892</v>
      </c>
      <c r="G46" s="41" t="str">
        <f>IF(E46&gt;0,IFERROR(INDEX(All_Mails!$B:$B,MATCH($E46,All_Mails!$D:$D,0)),"Not Found"),"n/a")</f>
        <v>Not Found</v>
      </c>
      <c r="H46" s="43" t="str">
        <f>IFERROR(INDEX(All_Mails!$C:$C,MATCH($E46,All_Mails!$D:$D,0)),"")</f>
        <v/>
      </c>
      <c r="I46" s="48"/>
      <c r="J46" s="43" t="s">
        <v>225</v>
      </c>
      <c r="K46" s="45" t="s">
        <v>18</v>
      </c>
      <c r="L46" s="41" t="s">
        <v>611</v>
      </c>
      <c r="M46" s="86"/>
      <c r="N46" s="25"/>
    </row>
    <row r="47" spans="2:16" s="12" customFormat="1" ht="12.75" customHeight="1">
      <c r="B47" s="17"/>
      <c r="C47" s="11" t="s">
        <v>161</v>
      </c>
      <c r="D47" s="16" t="s">
        <v>226</v>
      </c>
      <c r="E47" s="27" t="str">
        <f ca="1">"AIS_Onmo_Report || "&amp;TEXT(TODAY()-1,"mmm-yyyy")</f>
        <v>AIS_Onmo_Report || Apr-2025</v>
      </c>
      <c r="F47" s="13">
        <v>0.3444444444444445</v>
      </c>
      <c r="G47" s="16" t="str">
        <f ca="1">IF(E47&gt;0,IFERROR(INDEX(All_Mails!$B:$B,MATCH($E47,All_Mails!$D:$D,0)),"Not Found"),"n/a")</f>
        <v>Yes</v>
      </c>
      <c r="H47" s="14">
        <f ca="1">IFERROR(INDEX(All_Mails!$C:$C,MATCH($E47,All_Mails!$D:$D,0)),"")</f>
        <v>0.36527777777777781</v>
      </c>
      <c r="I47" s="47"/>
      <c r="J47" s="14" t="s">
        <v>227</v>
      </c>
      <c r="K47" s="20" t="s">
        <v>18</v>
      </c>
      <c r="L47" s="16" t="s">
        <v>611</v>
      </c>
      <c r="M47" s="28"/>
      <c r="N47" s="19"/>
    </row>
    <row r="48" spans="2:16" s="12" customFormat="1" ht="12.75" customHeight="1">
      <c r="B48" s="17"/>
      <c r="C48" s="11" t="s">
        <v>237</v>
      </c>
      <c r="D48" s="16" t="s">
        <v>228</v>
      </c>
      <c r="E48" s="27" t="str">
        <f ca="1">"Cellcard_CA_Report || "&amp;TEXT(TODAY()-1,"mmm-yyyy")</f>
        <v>Cellcard_CA_Report || Apr-2025</v>
      </c>
      <c r="F48" s="13">
        <v>0.28888888888888892</v>
      </c>
      <c r="G48" s="16" t="str">
        <f ca="1">IF(E48&gt;0,IFERROR(INDEX(All_Mails!$B:$B,MATCH($E48,All_Mails!$D:$D,0)),"Not Found"),"n/a")</f>
        <v>Yes</v>
      </c>
      <c r="H48" s="14">
        <f ca="1">IFERROR(INDEX(All_Mails!$C:$C,MATCH($E48,All_Mails!$D:$D,0)),"")</f>
        <v>0.28888888888888892</v>
      </c>
      <c r="I48" s="47"/>
      <c r="J48" s="14" t="s">
        <v>229</v>
      </c>
      <c r="K48" s="20" t="s">
        <v>18</v>
      </c>
      <c r="L48" s="16" t="s">
        <v>611</v>
      </c>
      <c r="M48" s="28"/>
      <c r="N48" s="19"/>
    </row>
    <row r="49" spans="1:16" s="53" customFormat="1" ht="12.75" hidden="1" customHeight="1">
      <c r="B49" s="54"/>
      <c r="C49" s="40" t="s">
        <v>238</v>
      </c>
      <c r="D49" s="41" t="s">
        <v>230</v>
      </c>
      <c r="E49" s="55" t="s">
        <v>672</v>
      </c>
      <c r="F49" s="42">
        <v>0.33611111111111108</v>
      </c>
      <c r="G49" s="41" t="str">
        <f>IF(E49&gt;0,IFERROR(INDEX(All_Mails!$B:$B,MATCH($E49,All_Mails!$D:$D,0)),"Not Found"),"n/a")</f>
        <v>Not Found</v>
      </c>
      <c r="H49" s="43" t="str">
        <f>IFERROR(INDEX(All_Mails!$C:$C,MATCH($E49,All_Mails!$D:$D,0)),"")</f>
        <v/>
      </c>
      <c r="I49" s="48"/>
      <c r="J49" s="43" t="s">
        <v>283</v>
      </c>
      <c r="K49" s="45" t="s">
        <v>18</v>
      </c>
      <c r="L49" s="41" t="s">
        <v>611</v>
      </c>
      <c r="M49" s="86"/>
      <c r="N49" s="25"/>
    </row>
    <row r="50" spans="1:16" s="12" customFormat="1" ht="12.75" customHeight="1">
      <c r="B50" s="17"/>
      <c r="C50" s="11" t="s">
        <v>169</v>
      </c>
      <c r="D50" s="11" t="s">
        <v>129</v>
      </c>
      <c r="E50" s="27" t="str">
        <f ca="1">"Smartfren_CA_Daily_Report || "&amp;TEXT(TODAY()-1,"mmm-yyyy")</f>
        <v>Smartfren_CA_Daily_Report || Apr-2025</v>
      </c>
      <c r="F50" s="13">
        <v>0.34236111111111112</v>
      </c>
      <c r="G50" s="16" t="str">
        <f ca="1">IF(E50&gt;0,IFERROR(INDEX(All_Mails!$B:$B,MATCH($E50,All_Mails!$D:$D,0)),"Not Found"),"n/a")</f>
        <v>Not Found</v>
      </c>
      <c r="H50" s="14" t="str">
        <f ca="1">IFERROR(INDEX(All_Mails!$C:$C,MATCH($E50,All_Mails!$D:$D,0)),"")</f>
        <v/>
      </c>
      <c r="I50" s="30"/>
      <c r="J50" s="16" t="s">
        <v>284</v>
      </c>
      <c r="K50" s="20" t="s">
        <v>18</v>
      </c>
      <c r="L50" s="16" t="s">
        <v>611</v>
      </c>
      <c r="M50" s="28"/>
      <c r="N50" s="19"/>
    </row>
    <row r="51" spans="1:16" s="12" customFormat="1" ht="12.75" customHeight="1">
      <c r="B51" s="17"/>
      <c r="C51" s="16" t="s">
        <v>128</v>
      </c>
      <c r="D51" s="16" t="s">
        <v>106</v>
      </c>
      <c r="E51" s="16" t="s">
        <v>106</v>
      </c>
      <c r="F51" s="13">
        <v>0.33194444444444443</v>
      </c>
      <c r="G51" s="16" t="str">
        <f>IF(F51&gt;0,IFERROR(INDEX(All_Mails!$B:$B,MATCH($E51,All_Mails!$D:$D,0)),"Not Found"),"n/a")</f>
        <v>Yes</v>
      </c>
      <c r="H51" s="14">
        <f>IFERROR(INDEX(All_Mails!$C:$C,MATCH($E51,All_Mails!$D:$D,0)),"")</f>
        <v>0.33194444444444443</v>
      </c>
      <c r="I51" s="30" t="str">
        <f>IFERROR(INDEX(All_Mails!$A:$A,MATCH(#REF!,All_Mails!$D:$D,0)),"")</f>
        <v/>
      </c>
      <c r="J51" s="16" t="s">
        <v>131</v>
      </c>
      <c r="K51" s="20" t="s">
        <v>18</v>
      </c>
      <c r="L51" s="16" t="s">
        <v>611</v>
      </c>
      <c r="M51" s="28"/>
      <c r="N51" s="19"/>
    </row>
    <row r="52" spans="1:16" s="53" customFormat="1" ht="12.75" hidden="1" customHeight="1">
      <c r="B52" s="40"/>
      <c r="C52" s="40" t="s">
        <v>88</v>
      </c>
      <c r="D52" s="40" t="s">
        <v>67</v>
      </c>
      <c r="E52" s="40" t="s">
        <v>67</v>
      </c>
      <c r="F52" s="42">
        <v>0.33680555555555558</v>
      </c>
      <c r="G52" s="41" t="str">
        <f>IF(F52&gt;0,IFERROR(INDEX(All_Mails!$B:$B,MATCH($E52,All_Mails!$D:$D,0)),"Not Found"),"n/a")</f>
        <v>Not Found</v>
      </c>
      <c r="H52" s="43" t="str">
        <f>IFERROR(INDEX(All_Mails!$C:$C,MATCH($E52,All_Mails!$D:$D,0)),"")</f>
        <v/>
      </c>
      <c r="I52" s="44" t="str">
        <f>IFERROR(INDEX(All_Mails!$A:$A,MATCH(#REF!,All_Mails!$D:$D,0)),"")</f>
        <v/>
      </c>
      <c r="J52" s="43" t="s">
        <v>90</v>
      </c>
      <c r="K52" s="45" t="s">
        <v>18</v>
      </c>
      <c r="L52" s="41" t="s">
        <v>611</v>
      </c>
      <c r="M52" s="86"/>
    </row>
    <row r="53" spans="1:16" s="53" customFormat="1" ht="12.75" hidden="1" customHeight="1">
      <c r="B53" s="40"/>
      <c r="C53" s="40" t="s">
        <v>88</v>
      </c>
      <c r="D53" s="40" t="s">
        <v>98</v>
      </c>
      <c r="E53" s="40" t="s">
        <v>98</v>
      </c>
      <c r="F53" s="42">
        <v>0.34027777777777773</v>
      </c>
      <c r="G53" s="41" t="str">
        <f>IF(F53&gt;0,IFERROR(INDEX(All_Mails!$B:$B,MATCH($E53,All_Mails!$D:$D,0)),"Not Found"),"n/a")</f>
        <v>Not Found</v>
      </c>
      <c r="H53" s="43" t="str">
        <f>IFERROR(INDEX(All_Mails!$C:$C,MATCH($E53,All_Mails!$D:$D,0)),"")</f>
        <v/>
      </c>
      <c r="I53" s="44" t="str">
        <f>IFERROR(INDEX(All_Mails!$A:$A,MATCH(#REF!,All_Mails!$D:$D,0)),"")</f>
        <v/>
      </c>
      <c r="J53" s="40" t="s">
        <v>100</v>
      </c>
      <c r="K53" s="45" t="s">
        <v>18</v>
      </c>
      <c r="L53" s="41" t="s">
        <v>611</v>
      </c>
      <c r="M53" s="86"/>
    </row>
    <row r="54" spans="1:16" s="25" customFormat="1" hidden="1">
      <c r="B54" s="40"/>
      <c r="C54" s="40" t="s">
        <v>136</v>
      </c>
      <c r="D54" s="41" t="s">
        <v>118</v>
      </c>
      <c r="E54" s="41" t="s">
        <v>118</v>
      </c>
      <c r="F54" s="13">
        <v>0.3611111111111111</v>
      </c>
      <c r="G54" s="16" t="str">
        <f>IF(F54&gt;0,IFERROR(INDEX(All_Mails!$B:$B,MATCH($E54,All_Mails!$D:$D,0)),"Not Found"),"n/a")</f>
        <v>Not Found</v>
      </c>
      <c r="H54" s="14" t="str">
        <f>IFERROR(INDEX(All_Mails!$C:$C,MATCH($E54,All_Mails!$D:$D,0)),"")</f>
        <v/>
      </c>
      <c r="I54" s="44">
        <f>IFERROR(INDEX(All_Mails!$A:$A,MATCH($E57,All_Mails!$D:$D,0)),"")</f>
        <v>1</v>
      </c>
      <c r="J54" s="43" t="s">
        <v>144</v>
      </c>
      <c r="K54" s="45" t="s">
        <v>18</v>
      </c>
      <c r="L54" s="41" t="s">
        <v>611</v>
      </c>
      <c r="M54" s="86"/>
    </row>
    <row r="55" spans="1:16" s="56" customFormat="1">
      <c r="A55" s="63" t="s">
        <v>192</v>
      </c>
      <c r="B55" s="15" t="s">
        <v>53</v>
      </c>
      <c r="C55" s="57" t="s">
        <v>285</v>
      </c>
      <c r="D55" s="58" t="s">
        <v>345</v>
      </c>
      <c r="E55" s="58" t="str">
        <f ca="1">"Airtel-RobiBD_RBT_RRBT_Report || "&amp;TEXT(TODAY()-1,"mmm-yyyy")</f>
        <v>Airtel-RobiBD_RBT_RRBT_Report || Apr-2025</v>
      </c>
      <c r="F55" s="13">
        <v>0.3611111111111111</v>
      </c>
      <c r="G55" s="16" t="str">
        <f ca="1">IF(F55&gt;0,IFERROR(INDEX(All_Mails!$B:$B,MATCH($E55,All_Mails!$D:$D,0)),"Not Found"),"n/a")</f>
        <v>Yes</v>
      </c>
      <c r="H55" s="14">
        <f ca="1">IFERROR(INDEX(All_Mails!$C:$C,MATCH($E55,All_Mails!$D:$D,0)),"")</f>
        <v>0.39027777777777778</v>
      </c>
      <c r="I55" s="60"/>
      <c r="J55" s="59" t="s">
        <v>286</v>
      </c>
      <c r="K55" s="61" t="s">
        <v>18</v>
      </c>
      <c r="L55" s="16" t="s">
        <v>612</v>
      </c>
      <c r="M55" s="28"/>
    </row>
    <row r="56" spans="1:16" s="25" customFormat="1" hidden="1">
      <c r="A56" s="25" t="s">
        <v>192</v>
      </c>
      <c r="B56" s="67" t="s">
        <v>158</v>
      </c>
      <c r="C56" s="62" t="s">
        <v>87</v>
      </c>
      <c r="D56" s="41" t="s">
        <v>54</v>
      </c>
      <c r="E56" s="41" t="s">
        <v>54</v>
      </c>
      <c r="F56" s="42">
        <v>0.36805555555555558</v>
      </c>
      <c r="G56" s="41" t="str">
        <f>IF(F56&gt;0,IFERROR(INDEX(All_Mails!$B:$B,MATCH($E56,All_Mails!$D:$D,0)),"Not Found"),"n/a")</f>
        <v>Not Found</v>
      </c>
      <c r="H56" s="43" t="str">
        <f>IFERROR(INDEX(All_Mails!$C:$C,MATCH($E56,All_Mails!$D:$D,0)),"")</f>
        <v/>
      </c>
      <c r="I56" s="44" t="str">
        <f>IFERROR(INDEX(All_Mails!$A:$A,MATCH(#REF!,All_Mails!$D:$D,0)),"")</f>
        <v/>
      </c>
      <c r="J56" s="43" t="s">
        <v>86</v>
      </c>
      <c r="K56" s="45" t="s">
        <v>18</v>
      </c>
      <c r="L56" s="41" t="s">
        <v>612</v>
      </c>
      <c r="M56" s="86"/>
    </row>
    <row r="57" spans="1:16" ht="12.75" customHeight="1">
      <c r="A57" s="63" t="s">
        <v>192</v>
      </c>
      <c r="B57" s="15" t="s">
        <v>53</v>
      </c>
      <c r="C57" s="11" t="s">
        <v>88</v>
      </c>
      <c r="D57" s="16" t="s">
        <v>93</v>
      </c>
      <c r="E57" s="16" t="s">
        <v>93</v>
      </c>
      <c r="F57" s="13">
        <v>0.375</v>
      </c>
      <c r="G57" s="16" t="str">
        <f>IF(F57&gt;0,IFERROR(INDEX(All_Mails!$B:$B,MATCH($E57,All_Mails!$D:$D,0)),"Not Found"),"n/a")</f>
        <v>Yes</v>
      </c>
      <c r="H57" s="14">
        <f>IFERROR(INDEX(All_Mails!$C:$C,MATCH($E57,All_Mails!$D:$D,0)),"")</f>
        <v>0.36874999999999997</v>
      </c>
      <c r="I57" s="30" t="str">
        <f>IFERROR(INDEX(All_Mails!$A:$A,MATCH($E59,All_Mails!$D:$D,0)),"")</f>
        <v/>
      </c>
      <c r="J57" s="11" t="s">
        <v>95</v>
      </c>
      <c r="K57" s="20" t="s">
        <v>18</v>
      </c>
      <c r="L57" s="16" t="s">
        <v>611</v>
      </c>
      <c r="M57" s="28"/>
      <c r="N57" s="12"/>
    </row>
    <row r="58" spans="1:16" s="25" customFormat="1" ht="12.75" hidden="1" customHeight="1">
      <c r="A58" s="25" t="s">
        <v>193</v>
      </c>
      <c r="B58" s="39" t="s">
        <v>53</v>
      </c>
      <c r="C58" s="75" t="s">
        <v>121</v>
      </c>
      <c r="D58" s="75" t="s">
        <v>122</v>
      </c>
      <c r="E58" s="25" t="s">
        <v>673</v>
      </c>
      <c r="F58" s="42">
        <v>0.3756944444444445</v>
      </c>
      <c r="G58" s="41" t="str">
        <f>IF(F58&gt;0,IFERROR(INDEX(All_Mails!$B:$B,MATCH($E58,All_Mails!$D:$D,0)),"Not Found"),"n/a")</f>
        <v>Not Found</v>
      </c>
      <c r="H58" s="43" t="str">
        <f>IFERROR(INDEX(All_Mails!$C:$C,MATCH($E58,All_Mails!$D:$D,0)),"")</f>
        <v/>
      </c>
      <c r="I58" s="44">
        <f ca="1">IFERROR(INDEX(All_Mails!$A:$A,MATCH($E61,All_Mails!$D:$D,0)),"")</f>
        <v>1</v>
      </c>
      <c r="J58" s="43" t="s">
        <v>125</v>
      </c>
      <c r="K58" s="40" t="s">
        <v>18</v>
      </c>
      <c r="L58" s="41" t="s">
        <v>611</v>
      </c>
      <c r="M58" s="86"/>
    </row>
    <row r="59" spans="1:16" s="25" customFormat="1" ht="12.75" hidden="1" customHeight="1">
      <c r="A59" s="68" t="s">
        <v>192</v>
      </c>
      <c r="B59" s="67" t="s">
        <v>158</v>
      </c>
      <c r="C59" s="62" t="s">
        <v>82</v>
      </c>
      <c r="D59" s="41" t="s">
        <v>83</v>
      </c>
      <c r="E59" s="41" t="s">
        <v>59</v>
      </c>
      <c r="F59" s="42">
        <v>0.37847222222222227</v>
      </c>
      <c r="G59" s="41" t="str">
        <f>IF(F59&gt;0,IFERROR(INDEX(All_Mails!$B:$B,MATCH($E59,All_Mails!$D:$D,0)),"Not Found"),"n/a")</f>
        <v>Not Found</v>
      </c>
      <c r="H59" s="43" t="str">
        <f>IFERROR(INDEX(All_Mails!$C:$C,MATCH($E59,All_Mails!$D:$D,0)),"")</f>
        <v/>
      </c>
      <c r="I59" s="44" t="str">
        <f>IFERROR(INDEX(All_Mails!$A:$A,MATCH($E62,All_Mails!$D:$D,0)),"")</f>
        <v/>
      </c>
      <c r="J59" s="43" t="s">
        <v>85</v>
      </c>
      <c r="K59" s="45" t="s">
        <v>18</v>
      </c>
      <c r="L59" s="41" t="s">
        <v>612</v>
      </c>
      <c r="M59" s="86"/>
      <c r="N59" s="53"/>
    </row>
    <row r="60" spans="1:16" s="25" customFormat="1" ht="12.75" hidden="1" customHeight="1">
      <c r="B60" s="54"/>
      <c r="C60" s="41" t="s">
        <v>128</v>
      </c>
      <c r="D60" s="41" t="s">
        <v>107</v>
      </c>
      <c r="E60" s="41" t="s">
        <v>107</v>
      </c>
      <c r="F60" s="42">
        <v>0.37847222222222227</v>
      </c>
      <c r="G60" s="41" t="str">
        <f>IF(F60&gt;0,IFERROR(INDEX(All_Mails!$B:$B,MATCH($E60,All_Mails!$D:$D,0)),"Not Found"),"n/a")</f>
        <v>Not Found</v>
      </c>
      <c r="H60" s="43" t="str">
        <f>IFERROR(INDEX(All_Mails!$C:$C,MATCH($E60,All_Mails!$D:$D,0)),"")</f>
        <v/>
      </c>
      <c r="I60" s="44" t="str">
        <f>IFERROR(INDEX(All_Mails!$A:$A,MATCH($E63,All_Mails!$D:$D,0)),"")</f>
        <v/>
      </c>
      <c r="J60" s="41" t="s">
        <v>130</v>
      </c>
      <c r="K60" s="45" t="s">
        <v>18</v>
      </c>
      <c r="L60" s="41" t="s">
        <v>611</v>
      </c>
      <c r="M60" s="86"/>
    </row>
    <row r="61" spans="1:16" ht="12.75" customHeight="1">
      <c r="A61" s="19" t="s">
        <v>193</v>
      </c>
      <c r="B61" s="15" t="s">
        <v>53</v>
      </c>
      <c r="C61" s="46" t="s">
        <v>121</v>
      </c>
      <c r="D61" s="46" t="s">
        <v>123</v>
      </c>
      <c r="E61" s="27" t="str">
        <f ca="1">"BD_Revenue_Report  || "&amp;TEXT(TODAY()-1,"mmm-yy")</f>
        <v>BD_Revenue_Report  || Apr-25</v>
      </c>
      <c r="F61" s="13">
        <v>0.38125000000000003</v>
      </c>
      <c r="G61" s="16" t="str">
        <f ca="1">IF(F61&gt;0,IFERROR(INDEX(All_Mails!$B:$B,MATCH($E61,All_Mails!$D:$D,0)),"Not Found"),"n/a")</f>
        <v>Yes</v>
      </c>
      <c r="H61" s="14">
        <f ca="1">IFERROR(INDEX(All_Mails!$C:$C,MATCH($E61,All_Mails!$D:$D,0)),"")</f>
        <v>0.4381944444444445</v>
      </c>
      <c r="I61" s="30" t="str">
        <f>IFERROR(INDEX(All_Mails!$A:$A,MATCH($E64,All_Mails!$D:$D,0)),"")</f>
        <v/>
      </c>
      <c r="J61" s="14" t="s">
        <v>126</v>
      </c>
      <c r="K61" s="11" t="s">
        <v>18</v>
      </c>
      <c r="L61" s="16" t="s">
        <v>611</v>
      </c>
      <c r="M61" s="28"/>
    </row>
    <row r="62" spans="1:16" s="25" customFormat="1" hidden="1">
      <c r="B62" s="41"/>
      <c r="C62" s="40" t="s">
        <v>82</v>
      </c>
      <c r="D62" s="41" t="s">
        <v>84</v>
      </c>
      <c r="E62" s="41" t="s">
        <v>55</v>
      </c>
      <c r="F62" s="42">
        <v>0.38194444444444442</v>
      </c>
      <c r="G62" s="41" t="str">
        <f>IF(F62&gt;0,IFERROR(INDEX(All_Mails!$B:$B,MATCH($E62,All_Mails!$D:$D,0)),"Not Found"),"n/a")</f>
        <v>Not Found</v>
      </c>
      <c r="H62" s="43" t="str">
        <f>IFERROR(INDEX(All_Mails!$C:$C,MATCH($E62,All_Mails!$D:$D,0)),"")</f>
        <v/>
      </c>
      <c r="I62" s="44" t="str">
        <f>IFERROR(INDEX(All_Mails!$A:$A,MATCH($E65,All_Mails!$D:$D,0)),"")</f>
        <v/>
      </c>
      <c r="J62" s="43" t="s">
        <v>86</v>
      </c>
      <c r="K62" s="45" t="s">
        <v>18</v>
      </c>
      <c r="L62" s="41" t="s">
        <v>612</v>
      </c>
      <c r="M62" s="86"/>
      <c r="N62" s="53"/>
    </row>
    <row r="63" spans="1:16" s="25" customFormat="1" hidden="1">
      <c r="B63" s="54"/>
      <c r="C63" s="41" t="s">
        <v>121</v>
      </c>
      <c r="D63" s="41" t="s">
        <v>119</v>
      </c>
      <c r="E63" s="41" t="s">
        <v>360</v>
      </c>
      <c r="F63" s="42">
        <v>0.38819444444444445</v>
      </c>
      <c r="G63" s="41" t="str">
        <f>IF(F63&gt;0,IFERROR(INDEX(All_Mails!$B:$B,MATCH($E63,All_Mails!$D:$D,0)),"Not Found"),"n/a")</f>
        <v>Not Found</v>
      </c>
      <c r="H63" s="43" t="str">
        <f>IFERROR(INDEX(All_Mails!$C:$C,MATCH($E63,All_Mails!$D:$D,0)),"")</f>
        <v/>
      </c>
      <c r="I63" s="44" t="str">
        <f>IFERROR(INDEX(All_Mails!$A:$A,MATCH($E66,All_Mails!$D:$D,0)),"")</f>
        <v/>
      </c>
      <c r="J63" s="41" t="s">
        <v>132</v>
      </c>
      <c r="K63" s="45" t="s">
        <v>18</v>
      </c>
      <c r="L63" s="41" t="s">
        <v>611</v>
      </c>
      <c r="M63" s="86"/>
      <c r="P63" s="73">
        <v>45362</v>
      </c>
    </row>
    <row r="64" spans="1:16" ht="12.75" hidden="1" customHeight="1">
      <c r="A64" s="63" t="s">
        <v>193</v>
      </c>
      <c r="B64" s="15" t="s">
        <v>53</v>
      </c>
      <c r="C64" s="46" t="s">
        <v>121</v>
      </c>
      <c r="D64" s="46" t="s">
        <v>124</v>
      </c>
      <c r="E64" s="27" t="s">
        <v>675</v>
      </c>
      <c r="F64" s="13">
        <v>0.3888888888888889</v>
      </c>
      <c r="G64" s="16" t="str">
        <f>IF(F64&gt;0,IFERROR(INDEX(All_Mails!$B:$B,MATCH($E64,All_Mails!$D:$D,0)),"Not Found"),"n/a")</f>
        <v>Not Found</v>
      </c>
      <c r="H64" s="14" t="str">
        <f>IFERROR(INDEX(All_Mails!$C:$C,MATCH($E64,All_Mails!$D:$D,0)),"")</f>
        <v/>
      </c>
      <c r="I64" s="30" t="str">
        <f>IFERROR(INDEX(All_Mails!$A:$A,MATCH(#REF!,All_Mails!$D:$D,0)),"")</f>
        <v/>
      </c>
      <c r="J64" s="14" t="s">
        <v>127</v>
      </c>
      <c r="K64" s="11"/>
      <c r="L64" s="16" t="s">
        <v>611</v>
      </c>
      <c r="M64" s="28"/>
    </row>
    <row r="65" spans="1:14" ht="12.75" hidden="1" customHeight="1">
      <c r="B65" s="16"/>
      <c r="C65" s="34" t="s">
        <v>77</v>
      </c>
      <c r="D65" s="34" t="s">
        <v>185</v>
      </c>
      <c r="E65" s="34" t="s">
        <v>185</v>
      </c>
      <c r="F65" s="35">
        <v>0.3888888888888889</v>
      </c>
      <c r="G65" s="34" t="str">
        <f>IF(F65&gt;0,IFERROR(INDEX(All_Mails!$B:$B,MATCH($E65,All_Mails!$D:$D,0)),"Not Found"),"n/a")</f>
        <v>Not Found</v>
      </c>
      <c r="H65" s="36" t="str">
        <f>IFERROR(INDEX(All_Mails!$C:$C,MATCH($E65,All_Mails!$D:$D,0)),"")</f>
        <v/>
      </c>
      <c r="I65" s="37" t="str">
        <f>IFERROR(INDEX(All_Mails!$A:$A,MATCH(#REF!,All_Mails!$D:$D,0)),"")</f>
        <v/>
      </c>
      <c r="J65" s="34" t="s">
        <v>21</v>
      </c>
      <c r="K65" s="38" t="s">
        <v>188</v>
      </c>
      <c r="L65" s="34"/>
      <c r="M65" s="88"/>
    </row>
    <row r="66" spans="1:14" ht="12.75" hidden="1" customHeight="1">
      <c r="B66" s="16"/>
      <c r="C66" s="34" t="s">
        <v>77</v>
      </c>
      <c r="D66" s="34" t="s">
        <v>184</v>
      </c>
      <c r="E66" s="34" t="s">
        <v>184</v>
      </c>
      <c r="F66" s="35">
        <v>0.3888888888888889</v>
      </c>
      <c r="G66" s="34" t="str">
        <f>IF(F66&gt;0,IFERROR(INDEX(All_Mails!$B:$B,MATCH($E66,All_Mails!$D:$D,0)),"Not Found"),"n/a")</f>
        <v>Not Found</v>
      </c>
      <c r="H66" s="36" t="str">
        <f>IFERROR(INDEX(All_Mails!$C:$C,MATCH($E66,All_Mails!$D:$D,0)),"")</f>
        <v/>
      </c>
      <c r="I66" s="37" t="str">
        <f>IFERROR(INDEX(All_Mails!$A:$A,MATCH($E82,All_Mails!$D:$D,0)),"")</f>
        <v/>
      </c>
      <c r="J66" s="34" t="s">
        <v>21</v>
      </c>
      <c r="K66" s="38" t="s">
        <v>188</v>
      </c>
      <c r="L66" s="34"/>
      <c r="M66" s="88"/>
    </row>
    <row r="67" spans="1:14" ht="12.75" customHeight="1">
      <c r="A67" s="63" t="s">
        <v>193</v>
      </c>
      <c r="B67" s="15" t="s">
        <v>53</v>
      </c>
      <c r="C67" s="49" t="s">
        <v>77</v>
      </c>
      <c r="D67" s="16" t="s">
        <v>182</v>
      </c>
      <c r="E67" s="16" t="s">
        <v>182</v>
      </c>
      <c r="F67" s="13">
        <v>4.3055555555555562E-2</v>
      </c>
      <c r="G67" s="16" t="str">
        <f>IF(F67&gt;0,IFERROR(INDEX(All_Mails!$B:$B,MATCH($E67,All_Mails!$D:$D,0)),"Not Found"),"n/a")</f>
        <v>Not Found</v>
      </c>
      <c r="H67" s="14" t="str">
        <f>IFERROR(INDEX(All_Mails!$C:$C,MATCH($E67,All_Mails!$D:$D,0)),"")</f>
        <v/>
      </c>
      <c r="I67" s="30" t="str">
        <f>IFERROR(INDEX(All_Mails!$A:$A,MATCH($E82,All_Mails!$D:$D,0)),"")</f>
        <v/>
      </c>
      <c r="J67" s="14" t="s">
        <v>186</v>
      </c>
      <c r="K67" s="20" t="s">
        <v>18</v>
      </c>
      <c r="L67" s="16" t="s">
        <v>611</v>
      </c>
      <c r="M67" s="28"/>
    </row>
    <row r="68" spans="1:14" s="25" customFormat="1" ht="15" hidden="1">
      <c r="A68" s="25" t="s">
        <v>193</v>
      </c>
      <c r="B68" s="39" t="s">
        <v>53</v>
      </c>
      <c r="C68" s="40" t="s">
        <v>47</v>
      </c>
      <c r="D68" s="41" t="s">
        <v>73</v>
      </c>
      <c r="E68" s="41" t="s">
        <v>58</v>
      </c>
      <c r="F68" s="42">
        <v>0.4597222222222222</v>
      </c>
      <c r="G68" s="41" t="str">
        <f>IF(F68&gt;0,IFERROR(INDEX(All_Mails!$B:$B,MATCH($E68,All_Mails!$D:$D,0)),"Not Found"),"n/a")</f>
        <v>Not Found</v>
      </c>
      <c r="H68" s="43" t="str">
        <f>IFERROR(INDEX(All_Mails!$C:$C,MATCH($E68,All_Mails!$D:$D,0)),"")</f>
        <v/>
      </c>
      <c r="I68" s="44" t="str">
        <f>IFERROR(INDEX(All_Mails!$A:$A,MATCH($E71,All_Mails!$D:$D,0)),"")</f>
        <v/>
      </c>
      <c r="J68" s="72" t="s">
        <v>75</v>
      </c>
      <c r="K68" s="41" t="s">
        <v>18</v>
      </c>
      <c r="L68" s="41" t="s">
        <v>76</v>
      </c>
      <c r="M68" s="86"/>
      <c r="N68" s="53"/>
    </row>
    <row r="69" spans="1:14">
      <c r="A69" s="63" t="s">
        <v>193</v>
      </c>
      <c r="B69" s="15" t="s">
        <v>53</v>
      </c>
      <c r="C69" s="49" t="s">
        <v>77</v>
      </c>
      <c r="D69" s="16" t="s">
        <v>181</v>
      </c>
      <c r="E69" s="16" t="s">
        <v>181</v>
      </c>
      <c r="F69" s="13">
        <v>4.4444444444444446E-2</v>
      </c>
      <c r="G69" s="16" t="str">
        <f>IF(F69&gt;0,IFERROR(INDEX(All_Mails!$B:$B,MATCH($E69,All_Mails!$D:$D,0)),"Not Found"),"n/a")</f>
        <v>Not Found</v>
      </c>
      <c r="H69" s="14" t="str">
        <f>IFERROR(INDEX(All_Mails!$C:$C,MATCH($E69,All_Mails!$D:$D,0)),"")</f>
        <v/>
      </c>
      <c r="I69" s="30" t="str">
        <f>IFERROR(INDEX(All_Mails!$A:$A,MATCH($E84,All_Mails!$D:$D,0)),"")</f>
        <v/>
      </c>
      <c r="J69" s="14" t="s">
        <v>187</v>
      </c>
      <c r="K69" s="20" t="s">
        <v>18</v>
      </c>
      <c r="L69" s="16" t="s">
        <v>611</v>
      </c>
      <c r="M69" s="28"/>
    </row>
    <row r="70" spans="1:14" ht="12.75" hidden="1" customHeight="1">
      <c r="B70" s="11"/>
      <c r="C70" s="11" t="s">
        <v>57</v>
      </c>
      <c r="D70" s="16" t="s">
        <v>165</v>
      </c>
      <c r="E70" s="11" t="s">
        <v>99</v>
      </c>
      <c r="F70" s="13">
        <v>0.41388888888888892</v>
      </c>
      <c r="G70" s="16" t="str">
        <f>IF(F70&gt;0,IFERROR(INDEX(All_Mails!$B:$B,MATCH($E70,All_Mails!$D:$D,0)),"Not Found"),"n/a")</f>
        <v>Not Found</v>
      </c>
      <c r="H70" s="14" t="str">
        <f>IFERROR(INDEX(All_Mails!$C:$C,MATCH($E70,All_Mails!$D:$D,0)),"")</f>
        <v/>
      </c>
      <c r="I70" s="30" t="str">
        <f>IFERROR(INDEX(All_Mails!$A:$A,MATCH(#REF!,All_Mails!$D:$D,0)),"")</f>
        <v/>
      </c>
      <c r="J70" s="11"/>
      <c r="K70" s="20" t="s">
        <v>18</v>
      </c>
      <c r="L70" s="11" t="s">
        <v>804</v>
      </c>
      <c r="M70" s="18"/>
    </row>
    <row r="71" spans="1:14" hidden="1">
      <c r="B71" s="11"/>
      <c r="C71" s="11" t="s">
        <v>57</v>
      </c>
      <c r="D71" s="11" t="s">
        <v>99</v>
      </c>
      <c r="E71" s="11" t="s">
        <v>99</v>
      </c>
      <c r="F71" s="13">
        <v>0.41388888888888892</v>
      </c>
      <c r="G71" s="16" t="str">
        <f>IF(F71&gt;0,IFERROR(INDEX(All_Mails!$B:$B,MATCH($E71,All_Mails!$D:$D,0)),"Not Found"),"n/a")</f>
        <v>Not Found</v>
      </c>
      <c r="H71" s="14" t="str">
        <f>IFERROR(INDEX(All_Mails!$C:$C,MATCH($E71,All_Mails!$D:$D,0)),"")</f>
        <v/>
      </c>
      <c r="I71" s="30">
        <f>IFERROR(INDEX(All_Mails!$A:$A,MATCH($E73,All_Mails!$D:$D,0)),"")</f>
        <v>2</v>
      </c>
      <c r="J71" s="11"/>
      <c r="K71" s="20" t="s">
        <v>18</v>
      </c>
      <c r="L71" s="11" t="s">
        <v>804</v>
      </c>
      <c r="M71" s="18"/>
    </row>
    <row r="72" spans="1:14" hidden="1">
      <c r="B72" s="16"/>
      <c r="C72" s="16" t="s">
        <v>57</v>
      </c>
      <c r="D72" s="16" t="s">
        <v>56</v>
      </c>
      <c r="E72" s="16" t="s">
        <v>56</v>
      </c>
      <c r="F72" s="13">
        <v>0.41666666666666669</v>
      </c>
      <c r="G72" s="16" t="str">
        <f>IF(F72&gt;0,IFERROR(INDEX(All_Mails!$B:$B,MATCH($E72,All_Mails!$D:$D,0)),"Not Found"),"n/a")</f>
        <v>Yes</v>
      </c>
      <c r="H72" s="14">
        <f>IFERROR(INDEX(All_Mails!$C:$C,MATCH($E72,All_Mails!$D:$D,0)),"")</f>
        <v>0.41666666666666669</v>
      </c>
      <c r="I72" s="30" t="str">
        <f>IFERROR(INDEX(All_Mails!$A:$A,MATCH($E74,All_Mails!$D:$D,0)),"")</f>
        <v/>
      </c>
      <c r="J72" s="14" t="s">
        <v>21</v>
      </c>
      <c r="K72" s="20" t="s">
        <v>18</v>
      </c>
      <c r="L72" s="16"/>
      <c r="M72" s="28"/>
      <c r="N72" s="12"/>
    </row>
    <row r="73" spans="1:14" ht="15">
      <c r="B73" s="16"/>
      <c r="C73" s="24" t="s">
        <v>72</v>
      </c>
      <c r="D73" s="11" t="s">
        <v>94</v>
      </c>
      <c r="E73" s="11" t="s">
        <v>94</v>
      </c>
      <c r="F73" s="13">
        <v>0.41805555555555557</v>
      </c>
      <c r="G73" s="16" t="str">
        <f>IF(F73&gt;0,IFERROR(INDEX(All_Mails!$B:$B,MATCH($E73,All_Mails!$D:$D,0)),"Not Found"),"n/a")</f>
        <v>Yes</v>
      </c>
      <c r="H73" s="14">
        <f>IFERROR(INDEX(All_Mails!$C:$C,MATCH($E73,All_Mails!$D:$D,0)),"")</f>
        <v>0.40138888888888885</v>
      </c>
      <c r="I73" s="30" t="str">
        <f>IFERROR(INDEX(All_Mails!$A:$A,MATCH(#REF!,All_Mails!$D:$D,0)),"")</f>
        <v/>
      </c>
      <c r="J73" s="11" t="s">
        <v>97</v>
      </c>
      <c r="K73" s="16" t="s">
        <v>18</v>
      </c>
      <c r="L73" s="16" t="s">
        <v>804</v>
      </c>
      <c r="M73" s="28"/>
      <c r="N73" s="12"/>
    </row>
    <row r="74" spans="1:14" s="25" customFormat="1" hidden="1">
      <c r="B74" s="41"/>
      <c r="C74" s="40" t="s">
        <v>139</v>
      </c>
      <c r="D74" s="41" t="s">
        <v>140</v>
      </c>
      <c r="E74" s="41" t="s">
        <v>115</v>
      </c>
      <c r="F74" s="42">
        <v>0.4201388888888889</v>
      </c>
      <c r="G74" s="41" t="str">
        <f>IF(F74&gt;0,IFERROR(INDEX(All_Mails!$B:$B,MATCH($E74,All_Mails!$D:$D,0)),"Not Found"),"n/a")</f>
        <v>Not Found</v>
      </c>
      <c r="H74" s="43" t="str">
        <f>IFERROR(INDEX(All_Mails!$C:$C,MATCH($E74,All_Mails!$D:$D,0)),"")</f>
        <v/>
      </c>
      <c r="I74" s="44" t="str">
        <f>IFERROR(INDEX(All_Mails!$A:$A,MATCH($E76,All_Mails!$D:$D,0)),"")</f>
        <v/>
      </c>
      <c r="J74" s="43" t="s">
        <v>146</v>
      </c>
      <c r="K74" s="45" t="s">
        <v>18</v>
      </c>
      <c r="L74" s="41" t="s">
        <v>52</v>
      </c>
      <c r="M74" s="86"/>
    </row>
    <row r="75" spans="1:14" s="25" customFormat="1" hidden="1">
      <c r="B75" s="41"/>
      <c r="C75" s="40" t="s">
        <v>92</v>
      </c>
      <c r="D75" s="41" t="s">
        <v>68</v>
      </c>
      <c r="E75" s="41" t="s">
        <v>68</v>
      </c>
      <c r="F75" s="42">
        <v>0.42222222222222222</v>
      </c>
      <c r="G75" s="41" t="str">
        <f>IF(F75&gt;0,IFERROR(INDEX(All_Mails!$B:$B,MATCH($E75,All_Mails!$D:$D,0)),"Not Found"),"n/a")</f>
        <v>Not Found</v>
      </c>
      <c r="H75" s="43" t="str">
        <f>IFERROR(INDEX(All_Mails!$C:$C,MATCH($E75,All_Mails!$D:$D,0)),"")</f>
        <v/>
      </c>
      <c r="I75" s="44" t="str">
        <f>IFERROR(INDEX(All_Mails!$A:$A,MATCH($E77,All_Mails!$D:$D,0)),"")</f>
        <v/>
      </c>
      <c r="J75" s="40" t="s">
        <v>91</v>
      </c>
      <c r="K75" s="41" t="s">
        <v>18</v>
      </c>
      <c r="L75" s="41" t="s">
        <v>52</v>
      </c>
      <c r="M75" s="86"/>
    </row>
    <row r="76" spans="1:14" hidden="1">
      <c r="B76" s="16"/>
      <c r="C76" s="16" t="s">
        <v>60</v>
      </c>
      <c r="D76" s="16" t="s">
        <v>62</v>
      </c>
      <c r="E76" s="16" t="s">
        <v>62</v>
      </c>
      <c r="F76" s="13">
        <v>0.43055555555555558</v>
      </c>
      <c r="G76" s="16" t="str">
        <f>IF(F76&gt;0,IFERROR(INDEX(All_Mails!$B:$B,MATCH($E76,All_Mails!$D:$D,0)),"Not Found"),"n/a")</f>
        <v>Not Found</v>
      </c>
      <c r="H76" s="14" t="str">
        <f>IFERROR(INDEX(All_Mails!$C:$C,MATCH($E76,All_Mails!$D:$D,0)),"")</f>
        <v/>
      </c>
      <c r="I76" s="30">
        <f>IFERROR(INDEX(All_Mails!$A:$A,MATCH($E79,All_Mails!$D:$D,0)),"")</f>
        <v>2</v>
      </c>
      <c r="J76" s="11" t="s">
        <v>21</v>
      </c>
      <c r="K76" s="11"/>
      <c r="L76" s="16"/>
      <c r="M76" s="28"/>
      <c r="N76" s="12"/>
    </row>
    <row r="77" spans="1:14" hidden="1">
      <c r="A77" s="63" t="s">
        <v>193</v>
      </c>
      <c r="B77" s="39" t="s">
        <v>53</v>
      </c>
      <c r="C77" s="49" t="s">
        <v>149</v>
      </c>
      <c r="D77" s="16" t="s">
        <v>114</v>
      </c>
      <c r="E77" s="16" t="s">
        <v>676</v>
      </c>
      <c r="F77" s="13">
        <v>0.43055555555555558</v>
      </c>
      <c r="G77" s="16" t="str">
        <f>IF(F77&gt;0,IFERROR(INDEX(All_Mails!$B:$B,MATCH($E77,All_Mails!$D:$D,0)),"Not Found"),"n/a")</f>
        <v>Not Found</v>
      </c>
      <c r="H77" s="14" t="str">
        <f>IFERROR(INDEX(All_Mails!$C:$C,MATCH($E77,All_Mails!$D:$D,0)),"")</f>
        <v/>
      </c>
      <c r="I77" s="30" t="str">
        <f ca="1">IFERROR(INDEX(All_Mails!$A:$A,MATCH($E80,All_Mails!$D:$D,0)),"")</f>
        <v/>
      </c>
      <c r="J77" s="14" t="s">
        <v>152</v>
      </c>
      <c r="K77" s="20" t="s">
        <v>18</v>
      </c>
      <c r="L77" s="16" t="s">
        <v>612</v>
      </c>
      <c r="M77" s="28"/>
    </row>
    <row r="78" spans="1:14" ht="12.75" hidden="1" customHeight="1">
      <c r="A78" s="63" t="s">
        <v>193</v>
      </c>
      <c r="B78" s="76" t="s">
        <v>53</v>
      </c>
      <c r="C78" s="49" t="s">
        <v>151</v>
      </c>
      <c r="D78" s="16" t="s">
        <v>113</v>
      </c>
      <c r="E78" s="16" t="s">
        <v>677</v>
      </c>
      <c r="F78" s="13">
        <v>0.43472222222222223</v>
      </c>
      <c r="G78" s="16" t="str">
        <f>IF(F78&gt;0,IFERROR(INDEX(All_Mails!$B:$B,MATCH($E78,All_Mails!$D:$D,0)),"Not Found"),"n/a")</f>
        <v>Not Found</v>
      </c>
      <c r="H78" s="14" t="str">
        <f>IFERROR(INDEX(All_Mails!$C:$C,MATCH($E78,All_Mails!$D:$D,0)),"")</f>
        <v/>
      </c>
      <c r="I78" s="30" t="str">
        <f ca="1">IFERROR(INDEX(All_Mails!$A:$A,MATCH($E81,All_Mails!$D:$D,0)),"")</f>
        <v/>
      </c>
      <c r="J78" s="14" t="s">
        <v>194</v>
      </c>
      <c r="K78" s="20" t="s">
        <v>18</v>
      </c>
      <c r="L78" s="16" t="s">
        <v>612</v>
      </c>
      <c r="M78" s="28"/>
    </row>
    <row r="79" spans="1:14">
      <c r="A79" s="63" t="s">
        <v>192</v>
      </c>
      <c r="B79" s="15" t="s">
        <v>53</v>
      </c>
      <c r="C79" s="49" t="s">
        <v>88</v>
      </c>
      <c r="D79" s="16" t="s">
        <v>63</v>
      </c>
      <c r="E79" s="16" t="s">
        <v>63</v>
      </c>
      <c r="F79" s="13">
        <v>0.43541666666666662</v>
      </c>
      <c r="G79" s="16" t="str">
        <f>IF(F79&gt;0,IFERROR(INDEX(All_Mails!$B:$B,MATCH($E79,All_Mails!$D:$D,0)),"Not Found"),"n/a")</f>
        <v>Yes</v>
      </c>
      <c r="H79" s="14">
        <f>IFERROR(INDEX(All_Mails!$C:$C,MATCH($E79,All_Mails!$D:$D,0)),"")</f>
        <v>0.43611111111111112</v>
      </c>
      <c r="I79" s="30" t="str">
        <f>IFERROR(INDEX(All_Mails!$A:$A,MATCH(#REF!,All_Mails!$D:$D,0)),"")</f>
        <v/>
      </c>
      <c r="J79" s="14" t="s">
        <v>89</v>
      </c>
      <c r="K79" s="20" t="s">
        <v>18</v>
      </c>
      <c r="L79" s="16" t="s">
        <v>612</v>
      </c>
      <c r="M79" s="28"/>
      <c r="N79" s="12"/>
    </row>
    <row r="80" spans="1:14" s="25" customFormat="1" ht="12.75" hidden="1" customHeight="1">
      <c r="B80" s="41"/>
      <c r="C80" s="40" t="s">
        <v>47</v>
      </c>
      <c r="D80" s="41" t="s">
        <v>50</v>
      </c>
      <c r="E80" s="41" t="str">
        <f ca="1">D80 &amp; " || " &amp; TEXT(Home!$B$1-1,"dd-Mmm-YY")</f>
        <v>Bkash_CA_Fundesh_Prism_Report || 14-Apr-25</v>
      </c>
      <c r="F80" s="42">
        <v>0.43611111111111112</v>
      </c>
      <c r="G80" s="41" t="str">
        <f ca="1">IF(F80&gt;0,IFERROR(INDEX(All_Mails!$B:$B,MATCH($E80,All_Mails!$D:$D,0)),"Not Found"),"n/a")</f>
        <v>Not Found</v>
      </c>
      <c r="H80" s="43" t="str">
        <f ca="1">IFERROR(INDEX(All_Mails!$C:$C,MATCH($E80,All_Mails!$D:$D,0)),"")</f>
        <v/>
      </c>
      <c r="I80" s="44" t="str">
        <f>IFERROR(INDEX(All_Mails!$A:$A,MATCH($E82,All_Mails!$D:$D,0)),"")</f>
        <v/>
      </c>
      <c r="J80" s="71" t="s">
        <v>96</v>
      </c>
      <c r="K80" s="74" t="s">
        <v>18</v>
      </c>
      <c r="L80" s="41" t="s">
        <v>804</v>
      </c>
      <c r="M80" s="86"/>
    </row>
    <row r="81" spans="1:13" s="25" customFormat="1" ht="12.75" hidden="1" customHeight="1">
      <c r="B81" s="41"/>
      <c r="C81" s="40" t="s">
        <v>47</v>
      </c>
      <c r="D81" s="41" t="s">
        <v>51</v>
      </c>
      <c r="E81" s="41" t="str">
        <f ca="1">D81 &amp; " || " &amp; TEXT(Home!$B$1-1,"Mmm-YY")</f>
        <v>CA_FUNDESH_KPI_REPORT - BKASH || Apr-25</v>
      </c>
      <c r="F81" s="42">
        <v>0.43611111111111112</v>
      </c>
      <c r="G81" s="41" t="str">
        <f ca="1">IF(F81&gt;0,IFERROR(INDEX(All_Mails!$B:$B,MATCH($E81,All_Mails!$D:$D,0)),"Not Found"),"n/a")</f>
        <v>Not Found</v>
      </c>
      <c r="H81" s="43" t="str">
        <f ca="1">IFERROR(INDEX(All_Mails!$C:$C,MATCH($E81,All_Mails!$D:$D,0)),"")</f>
        <v/>
      </c>
      <c r="I81" s="44">
        <f>IFERROR(INDEX(All_Mails!$A:$A,MATCH($E83,All_Mails!$D:$D,0)),"")</f>
        <v>2</v>
      </c>
      <c r="J81" s="71"/>
      <c r="K81" s="74" t="s">
        <v>18</v>
      </c>
      <c r="L81" s="41" t="s">
        <v>804</v>
      </c>
      <c r="M81" s="86"/>
    </row>
    <row r="82" spans="1:13" s="25" customFormat="1" hidden="1">
      <c r="B82" s="41"/>
      <c r="C82" s="40" t="s">
        <v>133</v>
      </c>
      <c r="D82" s="41" t="s">
        <v>111</v>
      </c>
      <c r="E82" s="41" t="s">
        <v>111</v>
      </c>
      <c r="F82" s="42">
        <v>0.44027777777777777</v>
      </c>
      <c r="G82" s="41" t="str">
        <f>IF(F82&gt;0,IFERROR(INDEX(All_Mails!$B:$B,MATCH($E82,All_Mails!$D:$D,0)),"Not Found"),"n/a")</f>
        <v>Not Found</v>
      </c>
      <c r="H82" s="43" t="str">
        <f>IFERROR(INDEX(All_Mails!$C:$C,MATCH($E82,All_Mails!$D:$D,0)),"")</f>
        <v/>
      </c>
      <c r="I82" s="44" t="str">
        <f ca="1">IFERROR(INDEX(All_Mails!$A:$A,MATCH($E85,All_Mails!$D:$D,0)),"")</f>
        <v/>
      </c>
      <c r="J82" s="43" t="s">
        <v>147</v>
      </c>
      <c r="K82" s="45" t="s">
        <v>18</v>
      </c>
      <c r="L82" s="41" t="s">
        <v>52</v>
      </c>
      <c r="M82" s="86"/>
    </row>
    <row r="83" spans="1:13" ht="12.75" customHeight="1">
      <c r="B83" s="16"/>
      <c r="C83" s="11" t="s">
        <v>57</v>
      </c>
      <c r="D83" s="16" t="s">
        <v>64</v>
      </c>
      <c r="E83" s="16" t="s">
        <v>64</v>
      </c>
      <c r="F83" s="13">
        <v>0.44236111111111115</v>
      </c>
      <c r="G83" s="16" t="str">
        <f>IF(F83&gt;0,IFERROR(INDEX(All_Mails!$B:$B,MATCH($E83,All_Mails!$D:$D,0)),"Not Found"),"n/a")</f>
        <v>Yes</v>
      </c>
      <c r="H83" s="14">
        <f>IFERROR(INDEX(All_Mails!$C:$C,MATCH($E83,All_Mails!$D:$D,0)),"")</f>
        <v>0.44027777777777777</v>
      </c>
      <c r="I83" s="30" t="str">
        <f>IFERROR(INDEX(All_Mails!$A:$A,MATCH($E86,All_Mails!$D:$D,0)),"")</f>
        <v/>
      </c>
      <c r="J83" s="11" t="s">
        <v>66</v>
      </c>
      <c r="K83" s="26" t="s">
        <v>18</v>
      </c>
      <c r="L83" s="16" t="s">
        <v>804</v>
      </c>
      <c r="M83" s="28"/>
    </row>
    <row r="84" spans="1:13" s="25" customFormat="1" ht="12.75" hidden="1" customHeight="1">
      <c r="B84" s="41"/>
      <c r="C84" s="40" t="s">
        <v>149</v>
      </c>
      <c r="D84" s="41" t="s">
        <v>109</v>
      </c>
      <c r="E84" s="41" t="s">
        <v>109</v>
      </c>
      <c r="F84" s="42">
        <v>0.44375000000000003</v>
      </c>
      <c r="G84" s="41" t="str">
        <f>IF(F84&gt;0,IFERROR(INDEX(All_Mails!$B:$B,MATCH($E84,All_Mails!$D:$D,0)),"Not Found"),"n/a")</f>
        <v>Not Found</v>
      </c>
      <c r="H84" s="43" t="str">
        <f>IFERROR(INDEX(All_Mails!$C:$C,MATCH($E84,All_Mails!$D:$D,0)),"")</f>
        <v/>
      </c>
      <c r="I84" s="44" t="str">
        <f>IFERROR(INDEX(All_Mails!$A:$A,MATCH($E87,All_Mails!$D:$D,0)),"")</f>
        <v/>
      </c>
      <c r="J84" s="43" t="s">
        <v>153</v>
      </c>
      <c r="K84" s="45" t="s">
        <v>18</v>
      </c>
      <c r="L84" s="41" t="s">
        <v>612</v>
      </c>
      <c r="M84" s="86"/>
    </row>
    <row r="85" spans="1:13" s="25" customFormat="1" ht="12.75" hidden="1" customHeight="1">
      <c r="A85" s="25" t="s">
        <v>193</v>
      </c>
      <c r="B85" s="39" t="s">
        <v>53</v>
      </c>
      <c r="C85" s="62" t="s">
        <v>134</v>
      </c>
      <c r="D85" s="41" t="s">
        <v>135</v>
      </c>
      <c r="E85" s="55" t="str">
        <f ca="1">D85&amp;" || "&amp; TEXT(Home!$B$1-1,"dd-Mmm-YY")</f>
        <v>ONMOGAMES JAZZ Report || 14-Apr-25</v>
      </c>
      <c r="F85" s="42">
        <v>0.4458333333333333</v>
      </c>
      <c r="G85" s="41" t="str">
        <f ca="1">IF(F85&gt;0,IFERROR(INDEX(All_Mails!$B:$B,MATCH($E85,All_Mails!$D:$D,0)),"Not Found"),"n/a")</f>
        <v>Not Found</v>
      </c>
      <c r="H85" s="43" t="str">
        <f ca="1">IFERROR(INDEX(All_Mails!$C:$C,MATCH($E85,All_Mails!$D:$D,0)),"")</f>
        <v/>
      </c>
      <c r="I85" s="44" t="str">
        <f>IFERROR(INDEX(All_Mails!$A:$A,MATCH(#REF!,All_Mails!$D:$D,0)),"")</f>
        <v/>
      </c>
      <c r="J85" s="43" t="s">
        <v>143</v>
      </c>
      <c r="K85" s="45" t="s">
        <v>18</v>
      </c>
      <c r="L85" s="41" t="s">
        <v>611</v>
      </c>
      <c r="M85" s="86"/>
    </row>
    <row r="86" spans="1:13" ht="12.75" hidden="1" customHeight="1">
      <c r="A86" s="63" t="s">
        <v>193</v>
      </c>
      <c r="B86" s="41" t="s">
        <v>53</v>
      </c>
      <c r="C86" s="49" t="s">
        <v>151</v>
      </c>
      <c r="D86" s="16" t="s">
        <v>110</v>
      </c>
      <c r="E86" s="16" t="s">
        <v>678</v>
      </c>
      <c r="F86" s="13">
        <v>0.4458333333333333</v>
      </c>
      <c r="G86" s="16" t="str">
        <f>IF(F86&gt;0,IFERROR(INDEX(All_Mails!$B:$B,MATCH($E86,All_Mails!$D:$D,0)),"Not Found"),"n/a")</f>
        <v>Not Found</v>
      </c>
      <c r="H86" s="14" t="str">
        <f>IFERROR(INDEX(All_Mails!$C:$C,MATCH($E86,All_Mails!$D:$D,0)),"")</f>
        <v/>
      </c>
      <c r="I86" s="30" t="str">
        <f>IFERROR(INDEX(All_Mails!$A:$A,MATCH($E88,All_Mails!$D:$D,0)),"")</f>
        <v/>
      </c>
      <c r="J86" s="14" t="s">
        <v>155</v>
      </c>
      <c r="K86" s="20" t="s">
        <v>18</v>
      </c>
      <c r="L86" s="16" t="s">
        <v>612</v>
      </c>
      <c r="M86" s="28"/>
    </row>
    <row r="87" spans="1:13" s="25" customFormat="1" hidden="1">
      <c r="A87" s="25" t="s">
        <v>193</v>
      </c>
      <c r="B87" s="39" t="s">
        <v>53</v>
      </c>
      <c r="C87" s="40" t="s">
        <v>149</v>
      </c>
      <c r="D87" s="41" t="s">
        <v>150</v>
      </c>
      <c r="E87" s="41" t="s">
        <v>112</v>
      </c>
      <c r="F87" s="42">
        <v>0.45833333333333331</v>
      </c>
      <c r="G87" s="41" t="str">
        <f>IF(F87&gt;0,IFERROR(INDEX(All_Mails!$B:$B,MATCH($E87,All_Mails!$D:$D,0)),"Not Found"),"n/a")</f>
        <v>Not Found</v>
      </c>
      <c r="H87" s="43" t="str">
        <f>IFERROR(INDEX(All_Mails!$C:$C,MATCH($E87,All_Mails!$D:$D,0)),"")</f>
        <v/>
      </c>
      <c r="I87" s="44" t="str">
        <f>IFERROR(INDEX(All_Mails!$A:$A,MATCH($E89,All_Mails!$D:$D,0)),"")</f>
        <v/>
      </c>
      <c r="J87" s="43" t="s">
        <v>154</v>
      </c>
      <c r="K87" s="45" t="s">
        <v>18</v>
      </c>
      <c r="L87" s="41" t="s">
        <v>612</v>
      </c>
      <c r="M87" s="86"/>
    </row>
    <row r="88" spans="1:13" hidden="1">
      <c r="B88" s="11"/>
      <c r="C88" s="11" t="s">
        <v>92</v>
      </c>
      <c r="D88" s="11" t="s">
        <v>104</v>
      </c>
      <c r="E88" s="11" t="s">
        <v>104</v>
      </c>
      <c r="F88" s="13">
        <v>0.45833333333333331</v>
      </c>
      <c r="G88" s="16" t="str">
        <f>IF(F88&gt;0,IFERROR(INDEX(All_Mails!$B:$B,MATCH($E88,All_Mails!$D:$D,0)),"Not Found"),"n/a")</f>
        <v>Not Found</v>
      </c>
      <c r="H88" s="14" t="str">
        <f>IFERROR(INDEX(All_Mails!$C:$C,MATCH($E88,All_Mails!$D:$D,0)),"")</f>
        <v/>
      </c>
      <c r="I88" s="30" t="str">
        <f>IFERROR(INDEX(All_Mails!$A:$A,MATCH($E91,All_Mails!$D:$D,0)),"")</f>
        <v/>
      </c>
      <c r="J88" s="11" t="s">
        <v>21</v>
      </c>
      <c r="K88" s="20" t="s">
        <v>18</v>
      </c>
      <c r="L88" s="11"/>
      <c r="M88" s="18"/>
    </row>
    <row r="89" spans="1:13" hidden="1">
      <c r="B89" s="11"/>
      <c r="C89" s="11" t="s">
        <v>92</v>
      </c>
      <c r="D89" s="11" t="s">
        <v>105</v>
      </c>
      <c r="E89" s="11" t="s">
        <v>105</v>
      </c>
      <c r="F89" s="13">
        <v>0.45833333333333331</v>
      </c>
      <c r="G89" s="16" t="str">
        <f>IF(F89&gt;0,IFERROR(INDEX(All_Mails!$B:$B,MATCH($E89,All_Mails!$D:$D,0)),"Not Found"),"n/a")</f>
        <v>Not Found</v>
      </c>
      <c r="H89" s="14" t="str">
        <f>IFERROR(INDEX(All_Mails!$C:$C,MATCH($E89,All_Mails!$D:$D,0)),"")</f>
        <v/>
      </c>
      <c r="I89" s="30" t="str">
        <f ca="1">IFERROR(INDEX(All_Mails!$A:$A,MATCH($E92,All_Mails!$D:$D,0)),"")</f>
        <v/>
      </c>
      <c r="J89" s="11" t="s">
        <v>21</v>
      </c>
      <c r="K89" s="20" t="s">
        <v>18</v>
      </c>
      <c r="L89" s="11"/>
      <c r="M89" s="18"/>
    </row>
    <row r="90" spans="1:13" s="25" customFormat="1" hidden="1">
      <c r="B90" s="40"/>
      <c r="C90" s="40" t="s">
        <v>60</v>
      </c>
      <c r="D90" s="41" t="s">
        <v>65</v>
      </c>
      <c r="E90" s="41" t="s">
        <v>65</v>
      </c>
      <c r="F90" s="42">
        <v>0.4777777777777778</v>
      </c>
      <c r="G90" s="41" t="str">
        <f>IF(F90&gt;0,IFERROR(INDEX(All_Mails!$B:$B,MATCH($E90,All_Mails!$D:$D,0)),"Not Found"),"n/a")</f>
        <v>Not Found</v>
      </c>
      <c r="H90" s="43" t="str">
        <f>IFERROR(INDEX(All_Mails!$C:$C,MATCH($E90,All_Mails!$D:$D,0)),"")</f>
        <v/>
      </c>
      <c r="I90" s="44" t="str">
        <f>IFERROR(INDEX(All_Mails!$A:$A,MATCH($E93,All_Mails!$D:$D,0)),"")</f>
        <v/>
      </c>
      <c r="J90" s="40" t="s">
        <v>61</v>
      </c>
      <c r="K90" s="41" t="s">
        <v>18</v>
      </c>
      <c r="L90" s="41" t="s">
        <v>611</v>
      </c>
      <c r="M90" s="86"/>
    </row>
    <row r="91" spans="1:13" s="25" customFormat="1" hidden="1">
      <c r="B91" s="40"/>
      <c r="C91" s="40" t="s">
        <v>141</v>
      </c>
      <c r="D91" s="41" t="s">
        <v>142</v>
      </c>
      <c r="E91" s="41" t="s">
        <v>108</v>
      </c>
      <c r="F91" s="42">
        <v>0.49305555555555558</v>
      </c>
      <c r="G91" s="41" t="str">
        <f>IF(F91&gt;0,IFERROR(INDEX(All_Mails!$B:$B,MATCH($E91,All_Mails!$D:$D,0)),"Not Found"),"n/a")</f>
        <v>Not Found</v>
      </c>
      <c r="H91" s="43" t="str">
        <f>IFERROR(INDEX(All_Mails!$C:$C,MATCH($E91,All_Mails!$D:$D,0)),"")</f>
        <v/>
      </c>
      <c r="I91" s="44" t="str">
        <f>IFERROR(INDEX(All_Mails!$A:$A,MATCH($E94,All_Mails!$D:$D,0)),"")</f>
        <v/>
      </c>
      <c r="J91" s="43" t="s">
        <v>148</v>
      </c>
      <c r="K91" s="45" t="s">
        <v>18</v>
      </c>
      <c r="L91" s="41" t="s">
        <v>52</v>
      </c>
      <c r="M91" s="86"/>
    </row>
    <row r="92" spans="1:13" hidden="1">
      <c r="A92" s="63" t="s">
        <v>193</v>
      </c>
      <c r="B92" s="15" t="s">
        <v>53</v>
      </c>
      <c r="C92" s="49" t="s">
        <v>137</v>
      </c>
      <c r="D92" s="16" t="s">
        <v>138</v>
      </c>
      <c r="E92" s="16" t="str">
        <f ca="1">D92 &amp; " || " &amp; TEXT(Home!$B$1-1,"Mmm-YY")</f>
        <v>UMobile_Rbt_Report || Apr-25</v>
      </c>
      <c r="F92" s="13">
        <v>0.5625</v>
      </c>
      <c r="G92" s="16" t="str">
        <f ca="1">IF(F92&gt;0,IFERROR(INDEX(All_Mails!$B:$B,MATCH($E92,All_Mails!$D:$D,0)),"Not Found"),"n/a")</f>
        <v>Not Found</v>
      </c>
      <c r="H92" s="14" t="str">
        <f ca="1">IFERROR(INDEX(All_Mails!$C:$C,MATCH($E92,All_Mails!$D:$D,0)),"")</f>
        <v/>
      </c>
      <c r="I92" s="30" t="str">
        <f>IFERROR(INDEX(All_Mails!$A:$A,MATCH($E95,All_Mails!$D:$D,0)),"")</f>
        <v/>
      </c>
      <c r="J92" s="14" t="s">
        <v>145</v>
      </c>
      <c r="K92" s="20" t="s">
        <v>18</v>
      </c>
      <c r="L92" s="16" t="s">
        <v>612</v>
      </c>
      <c r="M92" s="28"/>
    </row>
    <row r="93" spans="1:13" s="25" customFormat="1" hidden="1">
      <c r="B93" s="41"/>
      <c r="C93" s="40" t="s">
        <v>77</v>
      </c>
      <c r="D93" s="41" t="s">
        <v>79</v>
      </c>
      <c r="E93" s="41" t="s">
        <v>71</v>
      </c>
      <c r="F93" s="42">
        <v>0.57638888888888895</v>
      </c>
      <c r="G93" s="41" t="str">
        <f>IF(F93&gt;0,IFERROR(INDEX(All_Mails!$B:$B,MATCH($E93,All_Mails!$D:$D,0)),"Not Found"),"n/a")</f>
        <v>Not Found</v>
      </c>
      <c r="H93" s="43" t="str">
        <f>IFERROR(INDEX(All_Mails!$C:$C,MATCH($E93,All_Mails!$D:$D,0)),"")</f>
        <v/>
      </c>
      <c r="I93" s="44" t="str">
        <f>IFERROR(INDEX(All_Mails!$A:$A,MATCH($E96,All_Mails!$D:$D,0)),"")</f>
        <v/>
      </c>
      <c r="J93" s="43" t="s">
        <v>81</v>
      </c>
      <c r="K93" s="45" t="s">
        <v>18</v>
      </c>
      <c r="L93" s="41" t="s">
        <v>612</v>
      </c>
      <c r="M93" s="86"/>
    </row>
    <row r="94" spans="1:13" s="25" customFormat="1" hidden="1">
      <c r="B94" s="40"/>
      <c r="C94" s="40" t="s">
        <v>57</v>
      </c>
      <c r="D94" s="40" t="s">
        <v>101</v>
      </c>
      <c r="E94" s="40" t="s">
        <v>101</v>
      </c>
      <c r="F94" s="42">
        <v>0.59513888888888888</v>
      </c>
      <c r="G94" s="41" t="str">
        <f>IF(F94&gt;0,IFERROR(INDEX(All_Mails!$B:$B,MATCH($E94,All_Mails!$D:$D,0)),"Not Found"),"n/a")</f>
        <v>Not Found</v>
      </c>
      <c r="H94" s="43" t="str">
        <f>IFERROR(INDEX(All_Mails!$C:$C,MATCH($E94,All_Mails!$D:$D,0)),"")</f>
        <v/>
      </c>
      <c r="I94" s="44" t="str">
        <f>IFERROR(INDEX(All_Mails!$A:$A,MATCH($E112,All_Mails!$D:$D,0)),"")</f>
        <v/>
      </c>
      <c r="J94" s="40" t="s">
        <v>102</v>
      </c>
      <c r="K94" s="45" t="s">
        <v>18</v>
      </c>
      <c r="L94" s="40" t="s">
        <v>804</v>
      </c>
      <c r="M94" s="89"/>
    </row>
    <row r="95" spans="1:13" s="25" customFormat="1" ht="15" hidden="1">
      <c r="A95" s="68" t="s">
        <v>193</v>
      </c>
      <c r="B95" s="39" t="s">
        <v>53</v>
      </c>
      <c r="C95" s="69" t="s">
        <v>72</v>
      </c>
      <c r="D95" s="70" t="s">
        <v>70</v>
      </c>
      <c r="E95" s="70" t="s">
        <v>70</v>
      </c>
      <c r="F95" s="42">
        <v>0.61805555555555558</v>
      </c>
      <c r="G95" s="41" t="str">
        <f>IF(F95&gt;0,IFERROR(INDEX(All_Mails!$B:$B,MATCH($E95,All_Mails!$D:$D,0)),"Not Found"),"n/a")</f>
        <v>Not Found</v>
      </c>
      <c r="H95" s="43" t="str">
        <f>IFERROR(INDEX(All_Mails!$C:$C,MATCH($E95,All_Mails!$D:$D,0)),"")</f>
        <v/>
      </c>
      <c r="I95" s="44" t="str">
        <f>IFERROR(INDEX(All_Mails!$A:$A,MATCH($E113,All_Mails!$D:$D,0)),"")</f>
        <v/>
      </c>
      <c r="J95" s="71" t="s">
        <v>74</v>
      </c>
      <c r="K95" s="41" t="s">
        <v>18</v>
      </c>
      <c r="L95" s="41" t="s">
        <v>52</v>
      </c>
      <c r="M95" s="86"/>
    </row>
    <row r="96" spans="1:13">
      <c r="B96" s="16"/>
      <c r="C96" s="11" t="s">
        <v>77</v>
      </c>
      <c r="D96" s="16" t="s">
        <v>78</v>
      </c>
      <c r="E96" s="16" t="s">
        <v>69</v>
      </c>
      <c r="F96" s="13">
        <v>0.63402777777777775</v>
      </c>
      <c r="G96" s="16" t="str">
        <f>IF(F96&gt;0,IFERROR(INDEX(All_Mails!$B:$B,MATCH($E96,All_Mails!$D:$D,0)),"Not Found"),"n/a")</f>
        <v>Not Found</v>
      </c>
      <c r="H96" s="14" t="str">
        <f>IFERROR(INDEX(All_Mails!$C:$C,MATCH($E96,All_Mails!$D:$D,0)),"")</f>
        <v/>
      </c>
      <c r="I96" s="30" t="str">
        <f>IFERROR(INDEX(All_Mails!$A:$A,MATCH($E114,All_Mails!$D:$D,0)),"")</f>
        <v/>
      </c>
      <c r="J96" s="14" t="s">
        <v>80</v>
      </c>
      <c r="K96" s="20" t="s">
        <v>18</v>
      </c>
      <c r="L96" s="16" t="s">
        <v>612</v>
      </c>
      <c r="M96" s="28"/>
    </row>
    <row r="97" spans="2:14">
      <c r="B97" s="28"/>
      <c r="C97" s="18"/>
      <c r="D97" s="28"/>
      <c r="E97" s="28"/>
      <c r="F97" s="23"/>
      <c r="G97" s="28"/>
      <c r="H97" s="32"/>
      <c r="I97" s="33"/>
      <c r="J97" s="32"/>
      <c r="K97" s="29"/>
      <c r="L97" s="28"/>
      <c r="M97" s="28"/>
    </row>
    <row r="98" spans="2:14" ht="15" hidden="1">
      <c r="B98" s="31" t="s">
        <v>177</v>
      </c>
      <c r="C98" s="18"/>
      <c r="D98" s="28"/>
      <c r="E98" s="28"/>
      <c r="F98" s="23"/>
      <c r="G98" s="28"/>
      <c r="H98" s="32"/>
      <c r="I98" s="33"/>
      <c r="J98" s="32"/>
      <c r="K98" s="29"/>
      <c r="L98" s="28"/>
      <c r="M98" s="28"/>
    </row>
    <row r="99" spans="2:14" hidden="1">
      <c r="B99" s="16" t="s">
        <v>53</v>
      </c>
      <c r="C99" s="11" t="s">
        <v>175</v>
      </c>
      <c r="D99" s="16" t="s">
        <v>179</v>
      </c>
      <c r="E99" s="16" t="s">
        <v>183</v>
      </c>
      <c r="F99" s="23"/>
      <c r="G99" s="28"/>
      <c r="H99" s="32"/>
      <c r="I99" s="33"/>
      <c r="J99" s="32"/>
      <c r="K99" s="29"/>
      <c r="L99" s="28"/>
      <c r="M99" s="28"/>
    </row>
    <row r="100" spans="2:14" hidden="1">
      <c r="B100" s="28"/>
      <c r="C100" s="18"/>
      <c r="D100" s="28"/>
      <c r="E100" s="28"/>
      <c r="F100" s="23"/>
      <c r="G100" s="28"/>
      <c r="H100" s="32"/>
      <c r="I100" s="33"/>
      <c r="J100" s="32"/>
      <c r="K100" s="29"/>
      <c r="L100" s="28"/>
      <c r="M100" s="28"/>
    </row>
    <row r="101" spans="2:14" ht="15" hidden="1">
      <c r="B101" s="31" t="s">
        <v>103</v>
      </c>
      <c r="C101" s="18"/>
      <c r="D101" s="28"/>
      <c r="E101" s="28"/>
      <c r="F101" s="23"/>
      <c r="G101" s="28"/>
      <c r="H101" s="32"/>
      <c r="I101" s="33"/>
      <c r="J101" s="32"/>
      <c r="K101" s="29"/>
      <c r="L101" s="28"/>
      <c r="M101" s="28"/>
    </row>
    <row r="102" spans="2:14" hidden="1">
      <c r="B102" s="16" t="s">
        <v>53</v>
      </c>
      <c r="C102" s="11" t="s">
        <v>175</v>
      </c>
      <c r="D102" s="16" t="s">
        <v>170</v>
      </c>
      <c r="E102" s="16" t="s">
        <v>176</v>
      </c>
      <c r="F102" s="16" t="s">
        <v>611</v>
      </c>
      <c r="G102" s="28"/>
      <c r="H102" s="32"/>
      <c r="I102" s="33"/>
      <c r="J102" s="32"/>
      <c r="K102" s="29"/>
      <c r="L102" s="28"/>
      <c r="M102" s="28"/>
    </row>
    <row r="103" spans="2:14" hidden="1">
      <c r="B103" s="16" t="s">
        <v>53</v>
      </c>
      <c r="C103" s="11" t="s">
        <v>175</v>
      </c>
      <c r="D103" s="16" t="s">
        <v>171</v>
      </c>
      <c r="E103" s="16" t="s">
        <v>176</v>
      </c>
      <c r="F103" s="16" t="s">
        <v>611</v>
      </c>
      <c r="G103" s="28"/>
      <c r="H103" s="32"/>
      <c r="I103" s="33"/>
      <c r="J103" s="32"/>
      <c r="K103" s="29"/>
      <c r="L103" s="28"/>
      <c r="M103" s="28"/>
    </row>
    <row r="104" spans="2:14" hidden="1">
      <c r="B104" s="16" t="s">
        <v>53</v>
      </c>
      <c r="C104" s="11" t="s">
        <v>175</v>
      </c>
      <c r="D104" s="16" t="s">
        <v>172</v>
      </c>
      <c r="E104" s="16" t="s">
        <v>176</v>
      </c>
      <c r="F104" s="16" t="s">
        <v>611</v>
      </c>
      <c r="G104" s="28"/>
      <c r="H104" s="32"/>
      <c r="I104" s="33"/>
      <c r="J104" s="32"/>
      <c r="K104" s="29"/>
      <c r="L104" s="28"/>
      <c r="M104" s="28"/>
    </row>
    <row r="105" spans="2:14" hidden="1">
      <c r="B105" s="16" t="s">
        <v>53</v>
      </c>
      <c r="C105" s="11" t="s">
        <v>175</v>
      </c>
      <c r="D105" s="16" t="s">
        <v>173</v>
      </c>
      <c r="E105" s="16" t="s">
        <v>176</v>
      </c>
      <c r="F105" s="16" t="s">
        <v>611</v>
      </c>
      <c r="G105" s="28"/>
      <c r="H105" s="32"/>
      <c r="I105" s="33"/>
      <c r="J105" s="32"/>
      <c r="K105" s="29"/>
      <c r="L105" s="28"/>
      <c r="M105" s="28"/>
    </row>
    <row r="106" spans="2:14" hidden="1">
      <c r="B106" s="16" t="s">
        <v>53</v>
      </c>
      <c r="C106" s="11" t="s">
        <v>175</v>
      </c>
      <c r="D106" s="16" t="s">
        <v>174</v>
      </c>
      <c r="E106" s="16" t="s">
        <v>176</v>
      </c>
      <c r="F106" s="16" t="s">
        <v>611</v>
      </c>
      <c r="G106" s="28"/>
      <c r="H106" s="32"/>
      <c r="I106" s="33"/>
      <c r="J106" s="32"/>
      <c r="K106" s="29"/>
      <c r="L106" s="28"/>
      <c r="M106" s="28"/>
    </row>
    <row r="107" spans="2:14" hidden="1">
      <c r="B107" s="16" t="s">
        <v>53</v>
      </c>
      <c r="C107" s="11" t="s">
        <v>72</v>
      </c>
      <c r="D107" s="16" t="s">
        <v>178</v>
      </c>
      <c r="E107" s="16"/>
      <c r="F107" s="16"/>
      <c r="G107" s="28"/>
      <c r="H107" s="32"/>
      <c r="I107" s="33"/>
      <c r="J107" s="32"/>
      <c r="K107" s="29"/>
      <c r="L107" s="28"/>
      <c r="M107" s="28"/>
    </row>
    <row r="108" spans="2:14" hidden="1"/>
    <row r="109" spans="2:14" ht="15" hidden="1">
      <c r="B109" s="31" t="s">
        <v>168</v>
      </c>
    </row>
    <row r="110" spans="2:14" s="12" customFormat="1" ht="12.75" hidden="1" customHeight="1">
      <c r="B110" s="11" t="s">
        <v>156</v>
      </c>
      <c r="C110" s="11" t="s">
        <v>161</v>
      </c>
      <c r="D110" s="16" t="s">
        <v>164</v>
      </c>
      <c r="E110" s="27" t="str">
        <f>D110&amp;" || "&amp; TEXT([2]Home!$B$1-1,"Mmm-YY")</f>
        <v>AIS KPI Report || Jun-23</v>
      </c>
      <c r="F110" s="13">
        <v>0.32708333333333334</v>
      </c>
      <c r="G110" s="16" t="str">
        <f>IF(F110&gt;0,IFERROR(INDEX(All_Mails!$B:$B,MATCH($E110,All_Mails!$D:$D,0)),"Not Found"),"n/a")</f>
        <v>Not Found</v>
      </c>
      <c r="H110" s="14" t="str">
        <f>IFERROR(INDEX(All_Mails!$C:$C,MATCH($E110,All_Mails!$D:$D,0)),"")</f>
        <v/>
      </c>
      <c r="I110" s="30" t="str">
        <f>IFERROR(INDEX(All_Mails!$A:$A,MATCH($E120,All_Mails!$D:$D,0)),"")</f>
        <v/>
      </c>
      <c r="J110" s="11" t="s">
        <v>180</v>
      </c>
      <c r="K110" s="20" t="s">
        <v>18</v>
      </c>
      <c r="L110" s="16" t="s">
        <v>611</v>
      </c>
      <c r="M110" s="28"/>
      <c r="N110" s="19"/>
    </row>
    <row r="111" spans="2:14" s="12" customFormat="1" ht="12.75" hidden="1" customHeight="1">
      <c r="B111" s="11" t="s">
        <v>156</v>
      </c>
      <c r="C111" s="11" t="s">
        <v>161</v>
      </c>
      <c r="D111" s="16" t="s">
        <v>163</v>
      </c>
      <c r="E111" s="27" t="str">
        <f>D111&amp;"  || "&amp; TEXT([2]Home!$B$1-1,"Mmm-YY")</f>
        <v>AIS CA Report  || Jun-23</v>
      </c>
      <c r="F111" s="13">
        <v>0.3298611111111111</v>
      </c>
      <c r="G111" s="16" t="str">
        <f>IF(F111&gt;0,IFERROR(INDEX(All_Mails!$B:$B,MATCH($E111,All_Mails!$D:$D,0)),"Not Found"),"n/a")</f>
        <v>Not Found</v>
      </c>
      <c r="H111" s="14" t="str">
        <f>IFERROR(INDEX(All_Mails!$C:$C,MATCH($E111,All_Mails!$D:$D,0)),"")</f>
        <v/>
      </c>
      <c r="I111" s="30" t="str">
        <f>IFERROR(INDEX(All_Mails!$A:$A,MATCH($E121,All_Mails!$D:$D,0)),"")</f>
        <v/>
      </c>
      <c r="J111" s="11" t="s">
        <v>180</v>
      </c>
      <c r="K111" s="20" t="s">
        <v>18</v>
      </c>
      <c r="L111" s="16" t="s">
        <v>611</v>
      </c>
      <c r="M111" s="28"/>
      <c r="N111" s="19"/>
    </row>
    <row r="112" spans="2:14" s="12" customFormat="1" ht="12.75" hidden="1" customHeight="1">
      <c r="B112" s="11" t="s">
        <v>156</v>
      </c>
      <c r="C112" s="11" t="s">
        <v>139</v>
      </c>
      <c r="D112" s="11" t="s">
        <v>157</v>
      </c>
      <c r="E112" s="27" t="str">
        <f>D112&amp;"  || "&amp; TEXT([2]Home!$B$1-1,"Mmm-YY")</f>
        <v>Celcom_Challenge_Arena_Report  || Jun-23</v>
      </c>
      <c r="F112" s="13">
        <v>0.33333333333333331</v>
      </c>
      <c r="G112" s="16" t="str">
        <f>IF(F112&gt;0,IFERROR(INDEX(All_Mails!$B:$B,MATCH($E112,All_Mails!$D:$D,0)),"Not Found"),"n/a")</f>
        <v>Not Found</v>
      </c>
      <c r="H112" s="14" t="str">
        <f>IFERROR(INDEX(All_Mails!$C:$C,MATCH($E112,All_Mails!$D:$D,0)),"")</f>
        <v/>
      </c>
      <c r="I112" s="30" t="str">
        <f>IFERROR(INDEX(All_Mails!$A:$A,MATCH($E122,All_Mails!$D:$D,0)),"")</f>
        <v/>
      </c>
      <c r="J112" s="11" t="s">
        <v>180</v>
      </c>
      <c r="K112" s="20" t="s">
        <v>18</v>
      </c>
      <c r="L112" s="16" t="s">
        <v>611</v>
      </c>
      <c r="M112" s="28"/>
      <c r="N112" s="19"/>
    </row>
    <row r="113" spans="1:14" s="12" customFormat="1" ht="12.75" hidden="1" customHeight="1">
      <c r="B113" s="11" t="s">
        <v>156</v>
      </c>
      <c r="C113" s="11" t="s">
        <v>161</v>
      </c>
      <c r="D113" s="16" t="s">
        <v>162</v>
      </c>
      <c r="E113" s="27" t="str">
        <f>D113&amp;"  || "&amp; TEXT([2]Home!$B$1-1,"Mmm-YY")</f>
        <v>AIS_Onmo_Report  || Jun-23</v>
      </c>
      <c r="F113" s="13">
        <v>0.34375</v>
      </c>
      <c r="G113" s="16" t="str">
        <f>IF(F113&gt;0,IFERROR(INDEX(All_Mails!$B:$B,MATCH($E113,All_Mails!$D:$D,0)),"Not Found"),"n/a")</f>
        <v>Not Found</v>
      </c>
      <c r="H113" s="14" t="str">
        <f>IFERROR(INDEX(All_Mails!$C:$C,MATCH($E113,All_Mails!$D:$D,0)),"")</f>
        <v/>
      </c>
      <c r="I113" s="30" t="str">
        <f>IFERROR(INDEX(All_Mails!$A:$A,MATCH($E123,All_Mails!$D:$D,0)),"")</f>
        <v/>
      </c>
      <c r="J113" s="11" t="s">
        <v>180</v>
      </c>
      <c r="K113" s="20" t="s">
        <v>18</v>
      </c>
      <c r="L113" s="16" t="s">
        <v>611</v>
      </c>
      <c r="M113" s="28"/>
      <c r="N113" s="19"/>
    </row>
    <row r="114" spans="1:14" s="12" customFormat="1" ht="12.75" hidden="1" customHeight="1">
      <c r="B114" s="11" t="s">
        <v>156</v>
      </c>
      <c r="C114" s="11" t="s">
        <v>60</v>
      </c>
      <c r="D114" s="16" t="s">
        <v>160</v>
      </c>
      <c r="E114" s="27" t="str">
        <f>D114&amp;"  || "&amp; TEXT([2]Home!$B$1-1,"Mmm-YY")</f>
        <v>HUTCHSL_CA_Report  || Jun-23</v>
      </c>
      <c r="F114" s="13">
        <v>0.35416666666666669</v>
      </c>
      <c r="G114" s="16" t="str">
        <f>IF(F114&gt;0,IFERROR(INDEX(All_Mails!$B:$B,MATCH($E114,All_Mails!$D:$D,0)),"Not Found"),"n/a")</f>
        <v>Not Found</v>
      </c>
      <c r="H114" s="14" t="str">
        <f>IFERROR(INDEX(All_Mails!$C:$C,MATCH($E114,All_Mails!$D:$D,0)),"")</f>
        <v/>
      </c>
      <c r="I114" s="30" t="str">
        <f>IFERROR(INDEX(All_Mails!$A:$A,MATCH($E124,All_Mails!$D:$D,0)),"")</f>
        <v/>
      </c>
      <c r="J114" s="11" t="s">
        <v>180</v>
      </c>
      <c r="K114" s="16" t="s">
        <v>18</v>
      </c>
      <c r="L114" s="16" t="s">
        <v>611</v>
      </c>
      <c r="M114" s="28"/>
    </row>
    <row r="115" spans="1:14" s="25" customFormat="1" ht="12.75" hidden="1" customHeight="1">
      <c r="B115" s="11" t="s">
        <v>156</v>
      </c>
      <c r="C115" s="11" t="s">
        <v>136</v>
      </c>
      <c r="D115" s="11" t="s">
        <v>159</v>
      </c>
      <c r="E115" s="27" t="str">
        <f>D115&amp;"  || "&amp; TEXT([2]Home!$B$1-1,"Mmm-YY")</f>
        <v>Telenor_Challenge_Arena_Report   || Jun-23</v>
      </c>
      <c r="F115" s="13">
        <v>0.37152777777777773</v>
      </c>
      <c r="G115" s="16" t="str">
        <f>IF(F115&gt;0,IFERROR(INDEX(All_Mails!$B:$B,MATCH($E115,All_Mails!$D:$D,0)),"Not Found"),"n/a")</f>
        <v>Not Found</v>
      </c>
      <c r="H115" s="14" t="str">
        <f>IFERROR(INDEX(All_Mails!$C:$C,MATCH($E115,All_Mails!$D:$D,0)),"")</f>
        <v/>
      </c>
      <c r="I115" s="30" t="str">
        <f>IFERROR(INDEX(All_Mails!$A:$A,MATCH($E125,All_Mails!$D:$D,0)),"")</f>
        <v/>
      </c>
      <c r="J115" s="11" t="s">
        <v>180</v>
      </c>
      <c r="K115" s="20" t="s">
        <v>18</v>
      </c>
      <c r="L115" s="16" t="s">
        <v>611</v>
      </c>
      <c r="M115" s="28"/>
      <c r="N115" s="19"/>
    </row>
    <row r="116" spans="1:14" ht="12.75" hidden="1" customHeight="1">
      <c r="B116" s="11" t="s">
        <v>156</v>
      </c>
      <c r="C116" s="11" t="s">
        <v>141</v>
      </c>
      <c r="D116" s="9" t="s">
        <v>167</v>
      </c>
      <c r="E116" s="27" t="str">
        <f>D116&amp;"  || "&amp; TEXT([2]Home!$B$1-1,"Mmm-YY")</f>
        <v>TRUEMOVE Games Report  || Jun-23</v>
      </c>
      <c r="F116" s="13">
        <v>0.41736111111111113</v>
      </c>
      <c r="G116" s="16" t="str">
        <f>IF(F116&gt;0,IFERROR(INDEX(All_Mails!$B:$B,MATCH($E116,All_Mails!$D:$D,0)),"Not Found"),"n/a")</f>
        <v>Not Found</v>
      </c>
      <c r="H116" s="14" t="str">
        <f>IFERROR(INDEX(All_Mails!$C:$C,MATCH($E116,All_Mails!$D:$D,0)),"")</f>
        <v/>
      </c>
      <c r="I116" s="30" t="str">
        <f>IFERROR(INDEX(All_Mails!$A:$A,MATCH($E126,All_Mails!$D:$D,0)),"")</f>
        <v/>
      </c>
      <c r="J116" s="11" t="s">
        <v>180</v>
      </c>
      <c r="K116" s="20" t="s">
        <v>18</v>
      </c>
      <c r="L116" s="16" t="s">
        <v>611</v>
      </c>
      <c r="M116" s="28"/>
    </row>
    <row r="117" spans="1:14" ht="15" hidden="1">
      <c r="B117" s="11" t="s">
        <v>156</v>
      </c>
      <c r="C117" s="11" t="s">
        <v>141</v>
      </c>
      <c r="D117" s="9" t="s">
        <v>166</v>
      </c>
      <c r="E117" s="27" t="str">
        <f>D117&amp;"  || "&amp; TEXT([2]Home!$B$1-1,"Mmm-YY")</f>
        <v>TrueMove_Challenge_Arena_Report  || Jun-23</v>
      </c>
      <c r="F117" s="13">
        <v>0.42430555555555555</v>
      </c>
      <c r="G117" s="16" t="str">
        <f>IF(F117&gt;0,IFERROR(INDEX(All_Mails!$B:$B,MATCH($E117,All_Mails!$D:$D,0)),"Not Found"),"n/a")</f>
        <v>Not Found</v>
      </c>
      <c r="H117" s="14" t="str">
        <f>IFERROR(INDEX(All_Mails!$C:$C,MATCH($E117,All_Mails!$D:$D,0)),"")</f>
        <v/>
      </c>
      <c r="I117" s="30" t="str">
        <f>IFERROR(INDEX(All_Mails!$A:$A,MATCH($E127,All_Mails!$D:$D,0)),"")</f>
        <v/>
      </c>
      <c r="J117" s="11" t="s">
        <v>180</v>
      </c>
      <c r="K117" s="20" t="s">
        <v>18</v>
      </c>
      <c r="L117" s="16" t="s">
        <v>611</v>
      </c>
      <c r="M117" s="28"/>
    </row>
    <row r="118" spans="1:14" hidden="1">
      <c r="B118" s="11" t="s">
        <v>156</v>
      </c>
      <c r="C118" s="11" t="s">
        <v>169</v>
      </c>
      <c r="D118" s="11" t="s">
        <v>129</v>
      </c>
      <c r="E118" s="27" t="str">
        <f>D118&amp;"  || "&amp; TEXT([2]Home!$B$1-1,"Mmm-YY")</f>
        <v>Smartfren_CA_Daily_Report  || Jun-23</v>
      </c>
      <c r="F118" s="13">
        <v>0.34236111111111112</v>
      </c>
      <c r="G118" s="16" t="str">
        <f>IF(F118&gt;0,IFERROR(INDEX(All_Mails!$B:$B,MATCH($E118,All_Mails!$D:$D,0)),"Not Found"),"n/a")</f>
        <v>Not Found</v>
      </c>
      <c r="H118" s="14" t="str">
        <f>IFERROR(INDEX(All_Mails!$C:$C,MATCH($E118,All_Mails!$D:$D,0)),"")</f>
        <v/>
      </c>
      <c r="I118" s="30" t="str">
        <f>IFERROR(INDEX(All_Mails!$A:$A,MATCH($E128,All_Mails!$D:$D,0)),"")</f>
        <v/>
      </c>
      <c r="J118" s="11" t="s">
        <v>180</v>
      </c>
      <c r="K118" s="20" t="s">
        <v>18</v>
      </c>
      <c r="L118" s="16" t="s">
        <v>611</v>
      </c>
      <c r="M118" s="28"/>
    </row>
    <row r="119" spans="1:14" hidden="1"/>
    <row r="120" spans="1:14" hidden="1"/>
    <row r="121" spans="1:14" hidden="1">
      <c r="A121" s="19" t="s">
        <v>241</v>
      </c>
    </row>
    <row r="122" spans="1:14" hidden="1">
      <c r="B122" s="12" t="s">
        <v>242</v>
      </c>
    </row>
    <row r="123" spans="1:14" hidden="1">
      <c r="B123" s="12" t="s">
        <v>243</v>
      </c>
    </row>
    <row r="124" spans="1:14" hidden="1">
      <c r="B124" s="12" t="s">
        <v>118</v>
      </c>
    </row>
    <row r="125" spans="1:14" hidden="1">
      <c r="B125" s="12" t="s">
        <v>244</v>
      </c>
    </row>
    <row r="126" spans="1:14" hidden="1">
      <c r="B126" s="12" t="s">
        <v>245</v>
      </c>
    </row>
    <row r="127" spans="1:14" hidden="1">
      <c r="B127" s="12" t="s">
        <v>246</v>
      </c>
    </row>
    <row r="128" spans="1:14" hidden="1">
      <c r="B128" s="12" t="s">
        <v>247</v>
      </c>
    </row>
    <row r="129" spans="2:2" hidden="1">
      <c r="B129" s="12" t="s">
        <v>248</v>
      </c>
    </row>
    <row r="130" spans="2:2" hidden="1"/>
  </sheetData>
  <sortState ref="B51:N59">
    <sortCondition ref="F51:F59"/>
    <sortCondition ref="C51:C59"/>
  </sortState>
  <conditionalFormatting sqref="G6:G107">
    <cfRule type="cellIs" dxfId="55" priority="218" operator="equal">
      <formula>"Not Found"</formula>
    </cfRule>
    <cfRule type="cellIs" dxfId="54" priority="219" operator="equal">
      <formula>"No"</formula>
    </cfRule>
    <cfRule type="cellIs" dxfId="53" priority="302" operator="equal">
      <formula>"Yes"</formula>
    </cfRule>
  </conditionalFormatting>
  <conditionalFormatting sqref="D118:D1048576 D79:D94 D63:D65 D56:D58 D1 D52:D53 D97:D109">
    <cfRule type="duplicateValues" dxfId="52" priority="525"/>
  </conditionalFormatting>
  <conditionalFormatting sqref="D59">
    <cfRule type="duplicateValues" dxfId="51" priority="89"/>
  </conditionalFormatting>
  <conditionalFormatting sqref="D60:D61">
    <cfRule type="duplicateValues" dxfId="50" priority="88"/>
  </conditionalFormatting>
  <conditionalFormatting sqref="D62">
    <cfRule type="duplicateValues" dxfId="49" priority="87"/>
  </conditionalFormatting>
  <conditionalFormatting sqref="E64">
    <cfRule type="duplicateValues" dxfId="48" priority="86"/>
  </conditionalFormatting>
  <conditionalFormatting sqref="E65">
    <cfRule type="duplicateValues" dxfId="47" priority="85"/>
  </conditionalFormatting>
  <conditionalFormatting sqref="E68">
    <cfRule type="duplicateValues" dxfId="46" priority="79"/>
  </conditionalFormatting>
  <conditionalFormatting sqref="E119:E1048576 E80:E81 E84:E87 E108:E109 E89:E92 E1 E100:E101 E97:E98 E51:E57 E59:E73">
    <cfRule type="duplicateValues" dxfId="45" priority="77"/>
  </conditionalFormatting>
  <conditionalFormatting sqref="D74:D76">
    <cfRule type="duplicateValues" dxfId="44" priority="75"/>
  </conditionalFormatting>
  <conditionalFormatting sqref="D77">
    <cfRule type="duplicateValues" dxfId="43" priority="74"/>
  </conditionalFormatting>
  <conditionalFormatting sqref="D78">
    <cfRule type="duplicateValues" dxfId="42" priority="76"/>
  </conditionalFormatting>
  <conditionalFormatting sqref="E79">
    <cfRule type="duplicateValues" dxfId="41" priority="73"/>
  </conditionalFormatting>
  <conditionalFormatting sqref="E82:E83">
    <cfRule type="duplicateValues" dxfId="40" priority="72"/>
  </conditionalFormatting>
  <conditionalFormatting sqref="D113:D115 D110">
    <cfRule type="duplicateValues" dxfId="39" priority="71"/>
  </conditionalFormatting>
  <conditionalFormatting sqref="D111">
    <cfRule type="duplicateValues" dxfId="38" priority="67"/>
  </conditionalFormatting>
  <conditionalFormatting sqref="D112">
    <cfRule type="duplicateValues" dxfId="37" priority="63"/>
  </conditionalFormatting>
  <conditionalFormatting sqref="D116:D117">
    <cfRule type="duplicateValues" dxfId="36" priority="61"/>
  </conditionalFormatting>
  <conditionalFormatting sqref="E56">
    <cfRule type="duplicateValues" dxfId="35" priority="631"/>
  </conditionalFormatting>
  <conditionalFormatting sqref="G110:G118">
    <cfRule type="cellIs" dxfId="34" priority="58" operator="equal">
      <formula>"Not Found"</formula>
    </cfRule>
    <cfRule type="cellIs" dxfId="33" priority="59" operator="equal">
      <formula>"No"</formula>
    </cfRule>
    <cfRule type="cellIs" dxfId="32" priority="60" operator="equal">
      <formula>"Yes"</formula>
    </cfRule>
  </conditionalFormatting>
  <conditionalFormatting sqref="E110:E118">
    <cfRule type="duplicateValues" dxfId="31" priority="57"/>
  </conditionalFormatting>
  <conditionalFormatting sqref="E78">
    <cfRule type="duplicateValues" dxfId="30" priority="55"/>
  </conditionalFormatting>
  <conditionalFormatting sqref="E78">
    <cfRule type="duplicateValues" dxfId="29" priority="54"/>
  </conditionalFormatting>
  <conditionalFormatting sqref="E99">
    <cfRule type="duplicateValues" dxfId="28" priority="50"/>
  </conditionalFormatting>
  <conditionalFormatting sqref="E93:E94">
    <cfRule type="duplicateValues" dxfId="27" priority="49"/>
  </conditionalFormatting>
  <conditionalFormatting sqref="E95:E96">
    <cfRule type="duplicateValues" dxfId="26" priority="48"/>
  </conditionalFormatting>
  <conditionalFormatting sqref="D95:D96">
    <cfRule type="duplicateValues" dxfId="25" priority="47"/>
  </conditionalFormatting>
  <conditionalFormatting sqref="D51">
    <cfRule type="duplicateValues" dxfId="24" priority="687"/>
  </conditionalFormatting>
  <conditionalFormatting sqref="E51">
    <cfRule type="duplicateValues" dxfId="23" priority="688"/>
  </conditionalFormatting>
  <conditionalFormatting sqref="G2:G5">
    <cfRule type="cellIs" dxfId="22" priority="38" operator="equal">
      <formula>"Not Found"</formula>
    </cfRule>
    <cfRule type="cellIs" dxfId="21" priority="39" operator="equal">
      <formula>"No"</formula>
    </cfRule>
    <cfRule type="cellIs" dxfId="20" priority="40" operator="equal">
      <formula>"Yes"</formula>
    </cfRule>
  </conditionalFormatting>
  <conditionalFormatting sqref="D31:D32">
    <cfRule type="duplicateValues" dxfId="19" priority="29"/>
  </conditionalFormatting>
  <conditionalFormatting sqref="C44">
    <cfRule type="duplicateValues" dxfId="18" priority="25"/>
  </conditionalFormatting>
  <conditionalFormatting sqref="D50">
    <cfRule type="duplicateValues" dxfId="17" priority="24"/>
  </conditionalFormatting>
  <conditionalFormatting sqref="E50">
    <cfRule type="duplicateValues" dxfId="16" priority="19"/>
  </conditionalFormatting>
  <conditionalFormatting sqref="E50">
    <cfRule type="duplicateValues" dxfId="15" priority="18"/>
  </conditionalFormatting>
  <conditionalFormatting sqref="E50">
    <cfRule type="duplicateValues" dxfId="14" priority="17"/>
  </conditionalFormatting>
  <conditionalFormatting sqref="D66:D73">
    <cfRule type="duplicateValues" dxfId="13" priority="712"/>
  </conditionalFormatting>
  <conditionalFormatting sqref="D2:D8">
    <cfRule type="duplicateValues" dxfId="12" priority="792"/>
  </conditionalFormatting>
  <conditionalFormatting sqref="D33:D49">
    <cfRule type="duplicateValues" dxfId="11" priority="809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autoLine="0" r:id="rId5">
            <anchor moveWithCells="1">
              <from>
                <xdr:col>10</xdr:col>
                <xdr:colOff>47625</xdr:colOff>
                <xdr:row>0</xdr:row>
                <xdr:rowOff>38100</xdr:rowOff>
              </from>
              <to>
                <xdr:col>11</xdr:col>
                <xdr:colOff>152400</xdr:colOff>
                <xdr:row>0</xdr:row>
                <xdr:rowOff>409575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2E698-85B1-4891-A8FA-10A1E678D71B}">
  <dimension ref="A1:F7"/>
  <sheetViews>
    <sheetView workbookViewId="0">
      <selection activeCell="D16" sqref="D16"/>
    </sheetView>
  </sheetViews>
  <sheetFormatPr defaultRowHeight="15"/>
  <cols>
    <col min="1" max="1" width="14.28515625" bestFit="1" customWidth="1"/>
    <col min="2" max="2" width="14.42578125" bestFit="1" customWidth="1"/>
    <col min="3" max="3" width="37" bestFit="1" customWidth="1"/>
    <col min="4" max="4" width="37.28515625" bestFit="1" customWidth="1"/>
    <col min="5" max="5" width="42.5703125" bestFit="1" customWidth="1"/>
    <col min="6" max="6" width="11.28515625" bestFit="1" customWidth="1"/>
  </cols>
  <sheetData>
    <row r="1" spans="1:6" ht="27.75" customHeight="1">
      <c r="A1" s="7" t="s">
        <v>13</v>
      </c>
      <c r="B1" s="22" t="s">
        <v>22</v>
      </c>
      <c r="C1" s="22" t="s">
        <v>10</v>
      </c>
      <c r="D1" s="22" t="s">
        <v>11</v>
      </c>
      <c r="E1" s="22" t="s">
        <v>20</v>
      </c>
    </row>
    <row r="2" spans="1:6">
      <c r="A2" s="15" t="s">
        <v>53</v>
      </c>
      <c r="B2" s="57" t="s">
        <v>285</v>
      </c>
      <c r="C2" s="58" t="s">
        <v>345</v>
      </c>
      <c r="D2" s="58" t="s">
        <v>586</v>
      </c>
      <c r="E2" s="59" t="s">
        <v>286</v>
      </c>
      <c r="F2" s="16" t="s">
        <v>612</v>
      </c>
    </row>
    <row r="3" spans="1:6">
      <c r="A3" s="15" t="s">
        <v>53</v>
      </c>
      <c r="B3" s="11" t="s">
        <v>88</v>
      </c>
      <c r="C3" s="16" t="s">
        <v>93</v>
      </c>
      <c r="D3" s="16" t="s">
        <v>93</v>
      </c>
      <c r="E3" s="11" t="s">
        <v>95</v>
      </c>
      <c r="F3" s="16" t="s">
        <v>611</v>
      </c>
    </row>
    <row r="4" spans="1:6">
      <c r="A4" s="15" t="s">
        <v>53</v>
      </c>
      <c r="B4" s="11" t="s">
        <v>121</v>
      </c>
      <c r="C4" s="16" t="s">
        <v>123</v>
      </c>
      <c r="D4" s="27" t="s">
        <v>560</v>
      </c>
      <c r="E4" s="14" t="s">
        <v>126</v>
      </c>
      <c r="F4" s="16" t="s">
        <v>611</v>
      </c>
    </row>
    <row r="5" spans="1:6">
      <c r="A5" s="15" t="s">
        <v>53</v>
      </c>
      <c r="B5" s="49" t="s">
        <v>77</v>
      </c>
      <c r="C5" s="16" t="s">
        <v>182</v>
      </c>
      <c r="D5" s="16" t="s">
        <v>182</v>
      </c>
      <c r="E5" s="14" t="s">
        <v>186</v>
      </c>
      <c r="F5" s="16" t="s">
        <v>611</v>
      </c>
    </row>
    <row r="6" spans="1:6">
      <c r="A6" s="15" t="s">
        <v>53</v>
      </c>
      <c r="B6" s="49" t="s">
        <v>77</v>
      </c>
      <c r="C6" s="16" t="s">
        <v>181</v>
      </c>
      <c r="D6" s="16" t="s">
        <v>181</v>
      </c>
      <c r="E6" s="14" t="s">
        <v>187</v>
      </c>
      <c r="F6" s="16" t="s">
        <v>611</v>
      </c>
    </row>
    <row r="7" spans="1:6">
      <c r="A7" s="15" t="s">
        <v>53</v>
      </c>
      <c r="B7" s="49" t="s">
        <v>88</v>
      </c>
      <c r="C7" s="16" t="s">
        <v>63</v>
      </c>
      <c r="D7" s="16" t="s">
        <v>63</v>
      </c>
      <c r="E7" s="14" t="s">
        <v>89</v>
      </c>
      <c r="F7" s="16" t="s">
        <v>612</v>
      </c>
    </row>
  </sheetData>
  <conditionalFormatting sqref="C1">
    <cfRule type="duplicateValues" dxfId="10" priority="13"/>
  </conditionalFormatting>
  <conditionalFormatting sqref="D1">
    <cfRule type="duplicateValues" dxfId="9" priority="12"/>
  </conditionalFormatting>
  <conditionalFormatting sqref="D2">
    <cfRule type="duplicateValues" dxfId="8" priority="11"/>
  </conditionalFormatting>
  <conditionalFormatting sqref="C3">
    <cfRule type="duplicateValues" dxfId="7" priority="10"/>
  </conditionalFormatting>
  <conditionalFormatting sqref="D3">
    <cfRule type="duplicateValues" dxfId="6" priority="9"/>
  </conditionalFormatting>
  <conditionalFormatting sqref="D4">
    <cfRule type="duplicateValues" dxfId="5" priority="7"/>
  </conditionalFormatting>
  <conditionalFormatting sqref="D5:D6">
    <cfRule type="duplicateValues" dxfId="4" priority="750"/>
  </conditionalFormatting>
  <conditionalFormatting sqref="C5:C6">
    <cfRule type="duplicateValues" dxfId="3" priority="752"/>
  </conditionalFormatting>
  <conditionalFormatting sqref="C7">
    <cfRule type="duplicateValues" dxfId="2" priority="3"/>
  </conditionalFormatting>
  <conditionalFormatting sqref="D7">
    <cfRule type="duplicateValues" dxfId="1" priority="2"/>
  </conditionalFormatting>
  <conditionalFormatting sqref="C4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6B372E-C4AF-48E9-B9C5-B2D224ABC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Remote_Sites</vt:lpstr>
      <vt:lpstr>All_Mails</vt:lpstr>
      <vt:lpstr>Mail_Check</vt:lpstr>
      <vt:lpstr>Monthly_Changes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Kumar Rathore</dc:creator>
  <cp:lastModifiedBy>Shivaraj GV</cp:lastModifiedBy>
  <cp:lastPrinted>2020-07-03T10:22:33Z</cp:lastPrinted>
  <dcterms:created xsi:type="dcterms:W3CDTF">2019-09-24T05:07:20Z</dcterms:created>
  <dcterms:modified xsi:type="dcterms:W3CDTF">2025-04-15T06:41:52Z</dcterms:modified>
</cp:coreProperties>
</file>